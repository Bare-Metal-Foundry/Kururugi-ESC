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inon\Desktop\Kururugi-ESC-Dev-Board\resources\"/>
    </mc:Choice>
  </mc:AlternateContent>
  <xr:revisionPtr revIDLastSave="0" documentId="13_ncr:1_{AFB35476-FF1B-4E9A-8D37-AAAC2894930E}" xr6:coauthVersionLast="47" xr6:coauthVersionMax="47" xr10:uidLastSave="{00000000-0000-0000-0000-000000000000}"/>
  <bookViews>
    <workbookView xWindow="-55" yWindow="-55" windowWidth="19310" windowHeight="10190" tabRatio="783" activeTab="1" xr2:uid="{A7311F5B-F8BB-4208-8795-7C9379CFEF1C}"/>
  </bookViews>
  <sheets>
    <sheet name="HMI" sheetId="6" r:id="rId1"/>
    <sheet name="CAL_Cboot" sheetId="18" r:id="rId2"/>
    <sheet name="CAL_Fets" sheetId="28" r:id="rId3"/>
    <sheet name="CAL_Rg" sheetId="20" r:id="rId4"/>
    <sheet name="CAL_VSENSE" sheetId="1" state="hidden" r:id="rId5"/>
    <sheet name="CAL_Rshunt" sheetId="21" r:id="rId6"/>
    <sheet name="CAL_ISENSE_ARCH" sheetId="2" state="hidden" r:id="rId7"/>
    <sheet name="CAL_Rv1-2" sheetId="25" r:id="rId8"/>
    <sheet name="DB_LIMITS" sheetId="9" r:id="rId9"/>
    <sheet name="DB_GD" sheetId="17" r:id="rId10"/>
    <sheet name="DB_R" sheetId="26" r:id="rId11"/>
    <sheet name="DB_D" sheetId="19" r:id="rId12"/>
    <sheet name="DB_FETS" sheetId="7" r:id="rId13"/>
    <sheet name="DB_ADC" sheetId="11" r:id="rId14"/>
    <sheet name="Mosfet" sheetId="3" state="hidden" r:id="rId15"/>
  </sheets>
  <definedNames>
    <definedName name="Radc">HMI!$U$19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8" l="1"/>
  <c r="C18" i="6"/>
  <c r="B18" i="6"/>
  <c r="D19" i="18"/>
  <c r="Q13" i="18" s="1"/>
  <c r="C19" i="18"/>
  <c r="P13" i="18" s="1"/>
  <c r="C18" i="20"/>
  <c r="M10" i="20" s="1"/>
  <c r="C20" i="18"/>
  <c r="C6" i="6"/>
  <c r="D5" i="20" s="1"/>
  <c r="E25" i="6"/>
  <c r="P22" i="18"/>
  <c r="P14" i="18"/>
  <c r="P12" i="18"/>
  <c r="D18" i="18"/>
  <c r="Q7" i="18" s="1"/>
  <c r="C7" i="6"/>
  <c r="D6" i="20" s="1"/>
  <c r="H16" i="6"/>
  <c r="H15" i="6"/>
  <c r="G27" i="28"/>
  <c r="G26" i="28"/>
  <c r="G25" i="28"/>
  <c r="G24" i="28"/>
  <c r="D12" i="28"/>
  <c r="D13" i="28" s="1"/>
  <c r="H4" i="28" s="1"/>
  <c r="C12" i="28"/>
  <c r="C13" i="28"/>
  <c r="G4" i="28" s="1"/>
  <c r="C11" i="28"/>
  <c r="D4" i="28"/>
  <c r="D9" i="28" s="1"/>
  <c r="H5" i="28" s="1"/>
  <c r="A19" i="26"/>
  <c r="C19" i="26"/>
  <c r="A20" i="26"/>
  <c r="C20" i="26"/>
  <c r="A21" i="26"/>
  <c r="C21" i="26"/>
  <c r="A18" i="26"/>
  <c r="C18" i="26"/>
  <c r="A17" i="26"/>
  <c r="C17" i="26"/>
  <c r="A22" i="26"/>
  <c r="C22" i="26"/>
  <c r="A16" i="26"/>
  <c r="C16" i="26"/>
  <c r="E41" i="6"/>
  <c r="E40" i="6"/>
  <c r="P19" i="20"/>
  <c r="P18" i="20"/>
  <c r="P12" i="20"/>
  <c r="E36" i="6"/>
  <c r="E35" i="6"/>
  <c r="E38" i="6"/>
  <c r="C16" i="28" s="1"/>
  <c r="G17" i="28" s="1"/>
  <c r="E37" i="6"/>
  <c r="C15" i="28" s="1"/>
  <c r="G16" i="28" s="1"/>
  <c r="C22" i="20"/>
  <c r="J22" i="20" s="1"/>
  <c r="J24" i="20"/>
  <c r="J23" i="20"/>
  <c r="J14" i="20"/>
  <c r="J13" i="20"/>
  <c r="J4" i="20"/>
  <c r="C24" i="20"/>
  <c r="G21" i="20" s="1"/>
  <c r="C23" i="20"/>
  <c r="J12" i="20" s="1"/>
  <c r="P12" i="25"/>
  <c r="P11" i="25"/>
  <c r="A2" i="26"/>
  <c r="A3" i="26"/>
  <c r="A4" i="26"/>
  <c r="A5" i="26"/>
  <c r="A6" i="26"/>
  <c r="A7" i="26"/>
  <c r="A8" i="26"/>
  <c r="A9" i="26"/>
  <c r="A10" i="26"/>
  <c r="A11" i="26"/>
  <c r="A12" i="26"/>
  <c r="A13" i="26"/>
  <c r="A14" i="26"/>
  <c r="A15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L9" i="6"/>
  <c r="O13" i="6"/>
  <c r="D14" i="25" s="1"/>
  <c r="Q3" i="25" s="1"/>
  <c r="O12" i="6"/>
  <c r="D13" i="25" s="1"/>
  <c r="Q2" i="25" s="1"/>
  <c r="D25" i="25"/>
  <c r="N26" i="25" s="1"/>
  <c r="C25" i="25"/>
  <c r="M26" i="25" s="1"/>
  <c r="N36" i="6"/>
  <c r="N34" i="6"/>
  <c r="M29" i="25"/>
  <c r="D23" i="25"/>
  <c r="N21" i="25" s="1"/>
  <c r="C23" i="25"/>
  <c r="M21" i="25" s="1"/>
  <c r="D24" i="25"/>
  <c r="Q9" i="25" s="1"/>
  <c r="N35" i="6"/>
  <c r="C2" i="26"/>
  <c r="C5" i="26"/>
  <c r="C4" i="26"/>
  <c r="C3" i="26"/>
  <c r="C6" i="26"/>
  <c r="C7" i="26"/>
  <c r="C8" i="26"/>
  <c r="C9" i="26"/>
  <c r="C10" i="26"/>
  <c r="C11" i="26"/>
  <c r="C12" i="26"/>
  <c r="C13" i="26"/>
  <c r="D22" i="25"/>
  <c r="N14" i="25" s="1"/>
  <c r="M12" i="25"/>
  <c r="M27" i="25" s="1"/>
  <c r="P10" i="25" s="1"/>
  <c r="M13" i="25"/>
  <c r="M28" i="25" s="1"/>
  <c r="C22" i="25"/>
  <c r="M14" i="25" s="1"/>
  <c r="D15" i="25"/>
  <c r="Q4" i="25" s="1"/>
  <c r="C15" i="25"/>
  <c r="P4" i="25" s="1"/>
  <c r="C14" i="25"/>
  <c r="P3" i="25" s="1"/>
  <c r="C11" i="25"/>
  <c r="N13" i="6"/>
  <c r="C24" i="25"/>
  <c r="P9" i="25" s="1"/>
  <c r="D12" i="25"/>
  <c r="C12" i="25"/>
  <c r="G2" i="11"/>
  <c r="O19" i="6" s="1"/>
  <c r="C14" i="26"/>
  <c r="N23" i="6"/>
  <c r="J4" i="25"/>
  <c r="J3" i="25"/>
  <c r="N22" i="6"/>
  <c r="J11" i="25"/>
  <c r="J12" i="25"/>
  <c r="J10" i="25"/>
  <c r="N24" i="6"/>
  <c r="J21" i="25"/>
  <c r="D10" i="25"/>
  <c r="K23" i="25" s="1"/>
  <c r="C10" i="25"/>
  <c r="J23" i="25" s="1"/>
  <c r="G20" i="25"/>
  <c r="G19" i="25"/>
  <c r="N12" i="6"/>
  <c r="C15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A47" i="26" s="1"/>
  <c r="C48" i="26"/>
  <c r="A48" i="26" s="1"/>
  <c r="C49" i="26"/>
  <c r="A49" i="26" s="1"/>
  <c r="C50" i="26"/>
  <c r="A50" i="26" s="1"/>
  <c r="C51" i="26"/>
  <c r="A51" i="26" s="1"/>
  <c r="C52" i="26"/>
  <c r="A52" i="26" s="1"/>
  <c r="C53" i="26"/>
  <c r="A53" i="26" s="1"/>
  <c r="C54" i="26"/>
  <c r="A54" i="26" s="1"/>
  <c r="C55" i="26"/>
  <c r="A55" i="26" s="1"/>
  <c r="C56" i="26"/>
  <c r="A56" i="26" s="1"/>
  <c r="C57" i="26"/>
  <c r="A57" i="26" s="1"/>
  <c r="C58" i="26"/>
  <c r="A58" i="26" s="1"/>
  <c r="C59" i="26"/>
  <c r="A59" i="26" s="1"/>
  <c r="C60" i="26"/>
  <c r="A60" i="26" s="1"/>
  <c r="C61" i="26"/>
  <c r="A61" i="26" s="1"/>
  <c r="C62" i="26"/>
  <c r="A62" i="26" s="1"/>
  <c r="C63" i="26"/>
  <c r="A63" i="26" s="1"/>
  <c r="C64" i="26"/>
  <c r="A64" i="26" s="1"/>
  <c r="C65" i="26"/>
  <c r="A65" i="26" s="1"/>
  <c r="C66" i="26"/>
  <c r="A66" i="26" s="1"/>
  <c r="C67" i="26"/>
  <c r="A67" i="26" s="1"/>
  <c r="C68" i="26"/>
  <c r="A68" i="26" s="1"/>
  <c r="C69" i="26"/>
  <c r="A69" i="26" s="1"/>
  <c r="C70" i="26"/>
  <c r="A70" i="26" s="1"/>
  <c r="C71" i="26"/>
  <c r="A71" i="26" s="1"/>
  <c r="C72" i="26"/>
  <c r="A72" i="26" s="1"/>
  <c r="C73" i="26"/>
  <c r="A73" i="26" s="1"/>
  <c r="C74" i="26"/>
  <c r="A74" i="26" s="1"/>
  <c r="C75" i="26"/>
  <c r="A75" i="26" s="1"/>
  <c r="C76" i="26"/>
  <c r="A76" i="26" s="1"/>
  <c r="C77" i="26"/>
  <c r="A77" i="26" s="1"/>
  <c r="C78" i="26"/>
  <c r="A78" i="26" s="1"/>
  <c r="C79" i="26"/>
  <c r="A79" i="26" s="1"/>
  <c r="C80" i="26"/>
  <c r="A80" i="26" s="1"/>
  <c r="C81" i="26"/>
  <c r="A81" i="26" s="1"/>
  <c r="C82" i="26"/>
  <c r="A82" i="26" s="1"/>
  <c r="C83" i="26"/>
  <c r="A83" i="26" s="1"/>
  <c r="C84" i="26"/>
  <c r="A84" i="26" s="1"/>
  <c r="C85" i="26"/>
  <c r="A85" i="26" s="1"/>
  <c r="C86" i="26"/>
  <c r="A86" i="26" s="1"/>
  <c r="C87" i="26"/>
  <c r="A87" i="26" s="1"/>
  <c r="C88" i="26"/>
  <c r="A88" i="26" s="1"/>
  <c r="C89" i="26"/>
  <c r="A89" i="26" s="1"/>
  <c r="C90" i="26"/>
  <c r="A90" i="26" s="1"/>
  <c r="C91" i="26"/>
  <c r="A91" i="26" s="1"/>
  <c r="C92" i="26"/>
  <c r="A92" i="26" s="1"/>
  <c r="C93" i="26"/>
  <c r="A93" i="26" s="1"/>
  <c r="C94" i="26"/>
  <c r="A94" i="26" s="1"/>
  <c r="C95" i="26"/>
  <c r="A95" i="26" s="1"/>
  <c r="C96" i="26"/>
  <c r="A96" i="26" s="1"/>
  <c r="C97" i="26"/>
  <c r="A97" i="26" s="1"/>
  <c r="M2" i="25"/>
  <c r="G11" i="25"/>
  <c r="N21" i="6"/>
  <c r="M3" i="25"/>
  <c r="G12" i="25"/>
  <c r="G2" i="25"/>
  <c r="D19" i="25"/>
  <c r="C17" i="25"/>
  <c r="N5" i="6"/>
  <c r="N7" i="6" s="1"/>
  <c r="N25" i="6"/>
  <c r="C19" i="25"/>
  <c r="N20" i="6"/>
  <c r="C16" i="25"/>
  <c r="D17" i="25"/>
  <c r="D4" i="21"/>
  <c r="D9" i="21" s="1"/>
  <c r="C9" i="25"/>
  <c r="G4" i="25" s="1"/>
  <c r="D8" i="25"/>
  <c r="D9" i="25" s="1"/>
  <c r="H4" i="25" s="1"/>
  <c r="C8" i="25"/>
  <c r="D4" i="25"/>
  <c r="K16" i="6"/>
  <c r="D9" i="20"/>
  <c r="H11" i="20" s="1"/>
  <c r="D11" i="21"/>
  <c r="K5" i="21" s="1"/>
  <c r="K19" i="6"/>
  <c r="K18" i="6"/>
  <c r="K17" i="6"/>
  <c r="D14" i="21"/>
  <c r="K3" i="21" s="1"/>
  <c r="C16" i="21"/>
  <c r="J2" i="21" s="1"/>
  <c r="C2" i="11"/>
  <c r="G20" i="21"/>
  <c r="G8" i="21"/>
  <c r="D15" i="21"/>
  <c r="H9" i="21" s="1"/>
  <c r="K4" i="21" s="1"/>
  <c r="C15" i="21"/>
  <c r="G9" i="21" s="1"/>
  <c r="J4" i="21" s="1"/>
  <c r="C14" i="21"/>
  <c r="J3" i="21" s="1"/>
  <c r="D13" i="21"/>
  <c r="D16" i="21" s="1"/>
  <c r="K2" i="21" s="1"/>
  <c r="C13" i="21"/>
  <c r="K9" i="6"/>
  <c r="C11" i="21"/>
  <c r="G2" i="21" s="1"/>
  <c r="E39" i="6"/>
  <c r="P24" i="20"/>
  <c r="P4" i="20"/>
  <c r="M9" i="20"/>
  <c r="D18" i="20"/>
  <c r="N10" i="20" s="1"/>
  <c r="E42" i="6"/>
  <c r="P25" i="20"/>
  <c r="P3" i="20"/>
  <c r="P2" i="20"/>
  <c r="M27" i="20"/>
  <c r="G20" i="20"/>
  <c r="C12" i="18"/>
  <c r="G4" i="18" s="1"/>
  <c r="C21" i="20"/>
  <c r="M2" i="20" s="1"/>
  <c r="D20" i="20"/>
  <c r="D21" i="20" s="1"/>
  <c r="N2" i="20" s="1"/>
  <c r="J3" i="20"/>
  <c r="C15" i="20"/>
  <c r="G19" i="20" s="1"/>
  <c r="M19" i="20" s="1"/>
  <c r="C14" i="20"/>
  <c r="G18" i="20" s="1"/>
  <c r="M18" i="20" s="1"/>
  <c r="C13" i="20"/>
  <c r="G10" i="20" s="1"/>
  <c r="M17" i="20" s="1"/>
  <c r="C12" i="20"/>
  <c r="G9" i="20" s="1"/>
  <c r="M16" i="20" s="1"/>
  <c r="D11" i="20"/>
  <c r="D15" i="20" s="1"/>
  <c r="H19" i="20" s="1"/>
  <c r="N19" i="20" s="1"/>
  <c r="D8" i="20"/>
  <c r="H2" i="20" s="1"/>
  <c r="C9" i="20"/>
  <c r="G3" i="20" s="1"/>
  <c r="M26" i="20" s="1"/>
  <c r="C8" i="20"/>
  <c r="G2" i="20" s="1"/>
  <c r="D4" i="20"/>
  <c r="P6" i="18"/>
  <c r="E24" i="6"/>
  <c r="C17" i="20" s="1"/>
  <c r="E26" i="6"/>
  <c r="E23" i="6"/>
  <c r="E27" i="6"/>
  <c r="E22" i="6"/>
  <c r="C16" i="20" s="1"/>
  <c r="E21" i="6"/>
  <c r="D20" i="18"/>
  <c r="N2" i="18" s="1"/>
  <c r="M2" i="18"/>
  <c r="C18" i="18"/>
  <c r="M3" i="18" s="1"/>
  <c r="D4" i="18"/>
  <c r="D6" i="18" s="1"/>
  <c r="K7" i="18" s="1"/>
  <c r="N11" i="18" s="1"/>
  <c r="D7" i="18"/>
  <c r="N12" i="18" s="1"/>
  <c r="C7" i="18"/>
  <c r="M12" i="18" s="1"/>
  <c r="D27" i="18"/>
  <c r="N18" i="18" s="1"/>
  <c r="C27" i="18"/>
  <c r="M18" i="18" s="1"/>
  <c r="D25" i="18"/>
  <c r="H23" i="18" s="1"/>
  <c r="C25" i="18"/>
  <c r="G23" i="18" s="1"/>
  <c r="D13" i="18"/>
  <c r="H2" i="18" s="1"/>
  <c r="H10" i="18" s="1"/>
  <c r="C13" i="18"/>
  <c r="G2" i="18" s="1"/>
  <c r="D22" i="18"/>
  <c r="D23" i="18" s="1"/>
  <c r="D9" i="18"/>
  <c r="D10" i="18" s="1"/>
  <c r="G22" i="18"/>
  <c r="P5" i="18"/>
  <c r="C16" i="18"/>
  <c r="M19" i="18" s="1"/>
  <c r="P3" i="18"/>
  <c r="P4" i="18"/>
  <c r="P2" i="18"/>
  <c r="G11" i="18"/>
  <c r="G17" i="18"/>
  <c r="J13" i="18"/>
  <c r="J14" i="18"/>
  <c r="J5" i="18"/>
  <c r="C15" i="18"/>
  <c r="J4" i="18" s="1"/>
  <c r="C14" i="18"/>
  <c r="J3" i="18" s="1"/>
  <c r="D29" i="18"/>
  <c r="D30" i="18" s="1"/>
  <c r="K2" i="18" s="1"/>
  <c r="C23" i="18"/>
  <c r="G3" i="18"/>
  <c r="T7" i="9"/>
  <c r="W7" i="9" s="1"/>
  <c r="L7" i="9"/>
  <c r="K7" i="9"/>
  <c r="I6" i="6"/>
  <c r="R2" i="1"/>
  <c r="N20" i="1"/>
  <c r="N17" i="1"/>
  <c r="D35" i="1" s="1"/>
  <c r="N16" i="1"/>
  <c r="N23" i="1"/>
  <c r="N9" i="1"/>
  <c r="N7" i="1"/>
  <c r="C12" i="6"/>
  <c r="D5" i="25" s="1"/>
  <c r="H3" i="25" s="1"/>
  <c r="C10" i="6"/>
  <c r="C11" i="6"/>
  <c r="B12" i="6"/>
  <c r="C5" i="25" s="1"/>
  <c r="G3" i="25" s="1"/>
  <c r="B10" i="6"/>
  <c r="T3" i="9"/>
  <c r="W3" i="9" s="1"/>
  <c r="L3" i="9"/>
  <c r="K3" i="9"/>
  <c r="T5" i="9"/>
  <c r="W5" i="9" s="1"/>
  <c r="L5" i="9"/>
  <c r="K5" i="9"/>
  <c r="T4" i="9"/>
  <c r="W4" i="9" s="1"/>
  <c r="L4" i="9"/>
  <c r="K4" i="9"/>
  <c r="I9" i="6"/>
  <c r="B11" i="6"/>
  <c r="B13" i="6"/>
  <c r="M2" i="1" s="1"/>
  <c r="H7" i="6"/>
  <c r="H8" i="6"/>
  <c r="H6" i="6"/>
  <c r="C30" i="18" s="1"/>
  <c r="J2" i="18" s="1"/>
  <c r="I7" i="6"/>
  <c r="H9" i="6"/>
  <c r="I8" i="6"/>
  <c r="D5" i="7"/>
  <c r="E5" i="7"/>
  <c r="I12" i="6"/>
  <c r="H12" i="6"/>
  <c r="I11" i="6"/>
  <c r="H11" i="6"/>
  <c r="H10" i="6"/>
  <c r="I10" i="6"/>
  <c r="I5" i="6"/>
  <c r="H5" i="6"/>
  <c r="B17" i="6"/>
  <c r="C7" i="21" s="1"/>
  <c r="J12" i="21" s="1"/>
  <c r="T6" i="9"/>
  <c r="W6" i="9" s="1"/>
  <c r="T2" i="9"/>
  <c r="W2" i="9" s="1"/>
  <c r="L6" i="9"/>
  <c r="K6" i="9"/>
  <c r="J12" i="2"/>
  <c r="J9" i="2"/>
  <c r="J10" i="2" s="1"/>
  <c r="J8" i="2"/>
  <c r="D42" i="1"/>
  <c r="B42" i="1"/>
  <c r="G42" i="1" a="1"/>
  <c r="G42" i="1" s="1"/>
  <c r="H42" i="1" s="1"/>
  <c r="H2" i="11"/>
  <c r="N4" i="1"/>
  <c r="B8" i="6"/>
  <c r="B9" i="6"/>
  <c r="M3" i="1" s="1"/>
  <c r="B7" i="6"/>
  <c r="C6" i="18" s="1"/>
  <c r="J7" i="18" s="1"/>
  <c r="M11" i="18" s="1"/>
  <c r="B6" i="6"/>
  <c r="C5" i="18" s="1"/>
  <c r="J6" i="18" s="1"/>
  <c r="M10" i="18" s="1"/>
  <c r="B5" i="6"/>
  <c r="L2" i="9"/>
  <c r="K2" i="9"/>
  <c r="I13" i="6"/>
  <c r="H13" i="6"/>
  <c r="D10" i="3"/>
  <c r="D11" i="3"/>
  <c r="D12" i="3" s="1"/>
  <c r="N3" i="18" l="1"/>
  <c r="P15" i="18"/>
  <c r="Q15" i="18"/>
  <c r="P20" i="18"/>
  <c r="Q20" i="18"/>
  <c r="P21" i="18"/>
  <c r="P7" i="18"/>
  <c r="C8" i="28"/>
  <c r="G12" i="28" s="1"/>
  <c r="D10" i="28"/>
  <c r="H15" i="28" s="1"/>
  <c r="C5" i="28"/>
  <c r="C10" i="28"/>
  <c r="G15" i="28" s="1"/>
  <c r="D8" i="28"/>
  <c r="H12" i="28" s="1"/>
  <c r="C6" i="28"/>
  <c r="C9" i="28"/>
  <c r="G5" i="28" s="1"/>
  <c r="D7" i="28"/>
  <c r="D6" i="28"/>
  <c r="Q11" i="20"/>
  <c r="P10" i="20"/>
  <c r="N4" i="20"/>
  <c r="C6" i="25"/>
  <c r="G22" i="25" s="1"/>
  <c r="P11" i="20"/>
  <c r="H5" i="18"/>
  <c r="H17" i="18" s="1"/>
  <c r="Q10" i="20"/>
  <c r="D22" i="20"/>
  <c r="K22" i="20" s="1"/>
  <c r="G12" i="20"/>
  <c r="D23" i="20"/>
  <c r="K12" i="20" s="1"/>
  <c r="D24" i="20"/>
  <c r="N20" i="25"/>
  <c r="N22" i="25" s="1"/>
  <c r="O34" i="6" s="1"/>
  <c r="M20" i="25"/>
  <c r="Q5" i="25"/>
  <c r="Q12" i="25" s="1"/>
  <c r="D11" i="25"/>
  <c r="C13" i="25"/>
  <c r="P2" i="25" s="1"/>
  <c r="L15" i="6"/>
  <c r="K6" i="21"/>
  <c r="L17" i="6" s="1"/>
  <c r="J22" i="25"/>
  <c r="K22" i="25"/>
  <c r="J24" i="25"/>
  <c r="K24" i="25"/>
  <c r="G21" i="25"/>
  <c r="H21" i="25"/>
  <c r="D20" i="25"/>
  <c r="N13" i="25" s="1"/>
  <c r="N28" i="25" s="1"/>
  <c r="Q11" i="25" s="1"/>
  <c r="D18" i="25"/>
  <c r="K4" i="25" s="1"/>
  <c r="O5" i="6"/>
  <c r="O7" i="6"/>
  <c r="G13" i="25"/>
  <c r="H13" i="25"/>
  <c r="D5" i="21"/>
  <c r="H3" i="21" s="1"/>
  <c r="D6" i="21"/>
  <c r="K20" i="21" s="1"/>
  <c r="D7" i="21"/>
  <c r="K12" i="21" s="1"/>
  <c r="D8" i="21"/>
  <c r="K11" i="21"/>
  <c r="K19" i="21" s="1"/>
  <c r="H2" i="21"/>
  <c r="J5" i="21"/>
  <c r="J11" i="21"/>
  <c r="J19" i="21" s="1"/>
  <c r="K13" i="21"/>
  <c r="G21" i="21"/>
  <c r="H21" i="21"/>
  <c r="C9" i="21"/>
  <c r="G15" i="21"/>
  <c r="H15" i="21"/>
  <c r="N21" i="1"/>
  <c r="R7" i="1" s="1"/>
  <c r="C5" i="20"/>
  <c r="C6" i="20"/>
  <c r="M4" i="20" s="1"/>
  <c r="H3" i="20"/>
  <c r="N26" i="20" s="1"/>
  <c r="M3" i="20"/>
  <c r="J2" i="20"/>
  <c r="G11" i="20"/>
  <c r="D12" i="20"/>
  <c r="H9" i="20" s="1"/>
  <c r="N16" i="20" s="1"/>
  <c r="D14" i="20"/>
  <c r="H18" i="20" s="1"/>
  <c r="D13" i="20"/>
  <c r="H10" i="20" s="1"/>
  <c r="D5" i="18"/>
  <c r="K6" i="18" s="1"/>
  <c r="N10" i="18" s="1"/>
  <c r="N13" i="18" s="1"/>
  <c r="D16" i="18"/>
  <c r="H16" i="18"/>
  <c r="G16" i="18"/>
  <c r="G10" i="18"/>
  <c r="D14" i="18"/>
  <c r="K3" i="18" s="1"/>
  <c r="D15" i="18"/>
  <c r="K4" i="18" s="1"/>
  <c r="D11" i="18"/>
  <c r="H3" i="18" s="1"/>
  <c r="D12" i="18"/>
  <c r="H4" i="18" s="1"/>
  <c r="H35" i="1"/>
  <c r="J11" i="2"/>
  <c r="E35" i="1"/>
  <c r="B4" i="2"/>
  <c r="B5" i="2" s="1"/>
  <c r="R3" i="1"/>
  <c r="N19" i="18" l="1"/>
  <c r="N20" i="18" s="1"/>
  <c r="Q5" i="18" s="1"/>
  <c r="Q21" i="18"/>
  <c r="H4" i="20"/>
  <c r="H2" i="28"/>
  <c r="H6" i="28" s="1"/>
  <c r="H24" i="28" s="1"/>
  <c r="H13" i="28"/>
  <c r="H3" i="28"/>
  <c r="H7" i="28" s="1"/>
  <c r="H25" i="28" s="1"/>
  <c r="H14" i="28"/>
  <c r="G2" i="28"/>
  <c r="G13" i="28"/>
  <c r="J2" i="25"/>
  <c r="M15" i="20"/>
  <c r="M25" i="20" s="1"/>
  <c r="N15" i="20"/>
  <c r="N25" i="20" s="1"/>
  <c r="H21" i="20"/>
  <c r="H12" i="20"/>
  <c r="H13" i="20" s="1"/>
  <c r="N29" i="25"/>
  <c r="K12" i="25"/>
  <c r="N3" i="25"/>
  <c r="H20" i="25"/>
  <c r="H12" i="25"/>
  <c r="H2" i="25"/>
  <c r="H5" i="25" s="1"/>
  <c r="H6" i="25" s="1"/>
  <c r="H4" i="21"/>
  <c r="H8" i="21" s="1"/>
  <c r="H10" i="21" s="1"/>
  <c r="K14" i="21"/>
  <c r="L18" i="6" s="1"/>
  <c r="K21" i="21"/>
  <c r="J13" i="21"/>
  <c r="J21" i="21"/>
  <c r="H14" i="21"/>
  <c r="H16" i="21" s="1"/>
  <c r="H20" i="21" s="1"/>
  <c r="H22" i="21" s="1"/>
  <c r="L16" i="6" s="1"/>
  <c r="N22" i="1"/>
  <c r="R6" i="1" s="1"/>
  <c r="R8" i="1" s="1"/>
  <c r="H6" i="18"/>
  <c r="N17" i="20"/>
  <c r="N18" i="20"/>
  <c r="Q4" i="18"/>
  <c r="F26" i="6"/>
  <c r="B7" i="2"/>
  <c r="H11" i="18" l="1"/>
  <c r="H12" i="18" s="1"/>
  <c r="Q3" i="18" s="1"/>
  <c r="Q14" i="18"/>
  <c r="F22" i="6"/>
  <c r="D16" i="20" s="1"/>
  <c r="N3" i="20" s="1"/>
  <c r="N5" i="20" s="1"/>
  <c r="N9" i="20" s="1"/>
  <c r="N11" i="20" s="1"/>
  <c r="F39" i="6" s="1"/>
  <c r="H22" i="18"/>
  <c r="H24" i="18" s="1"/>
  <c r="K5" i="18" s="1"/>
  <c r="K8" i="18" s="1"/>
  <c r="K13" i="18" s="1"/>
  <c r="Q2" i="18"/>
  <c r="K3" i="20"/>
  <c r="K13" i="20"/>
  <c r="K15" i="20" s="1"/>
  <c r="K23" i="20" s="1"/>
  <c r="K25" i="20" s="1"/>
  <c r="F37" i="6" s="1"/>
  <c r="D15" i="28" s="1"/>
  <c r="H16" i="28" s="1"/>
  <c r="O20" i="6"/>
  <c r="K22" i="21"/>
  <c r="L19" i="6" s="1"/>
  <c r="N20" i="20"/>
  <c r="Q3" i="20" s="1"/>
  <c r="H20" i="20"/>
  <c r="H22" i="20" s="1"/>
  <c r="N27" i="20"/>
  <c r="N28" i="20" s="1"/>
  <c r="Q2" i="20" s="1"/>
  <c r="K14" i="18"/>
  <c r="B8" i="2"/>
  <c r="H11" i="25" l="1"/>
  <c r="K3" i="25"/>
  <c r="K5" i="25" s="1"/>
  <c r="F21" i="6"/>
  <c r="K2" i="20"/>
  <c r="K5" i="20" s="1"/>
  <c r="F35" i="6" s="1"/>
  <c r="Q24" i="20"/>
  <c r="Q4" i="20"/>
  <c r="Q5" i="20" s="1"/>
  <c r="K15" i="18"/>
  <c r="N4" i="18" s="1"/>
  <c r="F23" i="6" s="1"/>
  <c r="K4" i="20"/>
  <c r="K14" i="20"/>
  <c r="K16" i="20" s="1"/>
  <c r="K24" i="20" s="1"/>
  <c r="K26" i="20" s="1"/>
  <c r="F38" i="6" s="1"/>
  <c r="D16" i="28" s="1"/>
  <c r="H17" i="28" s="1"/>
  <c r="H19" i="28" s="1"/>
  <c r="H27" i="28" s="1"/>
  <c r="H29" i="28" s="1"/>
  <c r="I16" i="6" s="1"/>
  <c r="H19" i="25"/>
  <c r="O21" i="6"/>
  <c r="N2" i="25"/>
  <c r="N4" i="25" s="1"/>
  <c r="N12" i="25" s="1"/>
  <c r="N15" i="25" s="1"/>
  <c r="B9" i="2"/>
  <c r="H14" i="25" l="1"/>
  <c r="O25" i="6" s="1"/>
  <c r="N5" i="18"/>
  <c r="Q12" i="18" s="1"/>
  <c r="Q6" i="18"/>
  <c r="Q8" i="18" s="1"/>
  <c r="F27" i="6" s="1"/>
  <c r="H18" i="28"/>
  <c r="H26" i="28" s="1"/>
  <c r="H28" i="28" s="1"/>
  <c r="I15" i="6" s="1"/>
  <c r="Q18" i="20"/>
  <c r="Q12" i="20"/>
  <c r="Q13" i="20" s="1"/>
  <c r="K6" i="20"/>
  <c r="F36" i="6" s="1"/>
  <c r="N27" i="25"/>
  <c r="Q10" i="25" s="1"/>
  <c r="Q13" i="25" s="1"/>
  <c r="H23" i="25"/>
  <c r="K10" i="25" s="1"/>
  <c r="K13" i="25" s="1"/>
  <c r="Q25" i="20"/>
  <c r="Q26" i="20" s="1"/>
  <c r="F42" i="6" s="1"/>
  <c r="B10" i="2"/>
  <c r="Q16" i="18" l="1"/>
  <c r="Q22" i="18" s="1"/>
  <c r="F24" i="6"/>
  <c r="D17" i="20" s="1"/>
  <c r="Q19" i="20"/>
  <c r="Q20" i="20" s="1"/>
  <c r="F40" i="6"/>
  <c r="N30" i="25"/>
  <c r="O35" i="6" s="1"/>
  <c r="K21" i="25"/>
  <c r="K25" i="25" s="1"/>
  <c r="O24" i="6" s="1"/>
  <c r="B11" i="2"/>
  <c r="Q23" i="18" l="1"/>
  <c r="F25" i="6" s="1"/>
  <c r="F41" i="6"/>
  <c r="O36" i="6"/>
  <c r="B12" i="2"/>
  <c r="B13" i="2" l="1"/>
  <c r="B14" i="2" l="1"/>
  <c r="E42" i="1"/>
  <c r="F42" i="1" l="1" a="1"/>
  <c r="F42" i="1" s="1"/>
  <c r="C17" i="6"/>
  <c r="C16" i="6"/>
  <c r="J6" i="2" s="1"/>
  <c r="D4" i="2" s="1"/>
  <c r="C15" i="6"/>
  <c r="J5" i="2" s="1"/>
  <c r="C13" i="6"/>
  <c r="J3" i="2"/>
  <c r="C9" i="6"/>
  <c r="D5" i="28" s="1"/>
  <c r="C14" i="6"/>
  <c r="J4" i="2" s="1"/>
  <c r="C8" i="6"/>
  <c r="B14" i="6"/>
  <c r="C5" i="6"/>
  <c r="B15" i="6"/>
  <c r="C7" i="28" s="1"/>
  <c r="B16" i="6"/>
  <c r="G3" i="28" l="1"/>
  <c r="G14" i="28"/>
  <c r="C5" i="21"/>
  <c r="D6" i="25"/>
  <c r="I5" i="2"/>
  <c r="C6" i="21"/>
  <c r="J20" i="21" s="1"/>
  <c r="C9" i="2"/>
  <c r="C4" i="2"/>
  <c r="I6" i="2"/>
  <c r="C8" i="21"/>
  <c r="I4" i="2"/>
  <c r="G3" i="21"/>
  <c r="N10" i="1"/>
  <c r="N2" i="1"/>
  <c r="M35" i="1" s="1"/>
  <c r="F7" i="2"/>
  <c r="F8" i="2"/>
  <c r="F14" i="2"/>
  <c r="F12" i="2"/>
  <c r="F10" i="2"/>
  <c r="F9" i="2"/>
  <c r="F13" i="2"/>
  <c r="F4" i="2"/>
  <c r="F5" i="2"/>
  <c r="F11" i="2"/>
  <c r="F6" i="2"/>
  <c r="E14" i="2"/>
  <c r="C7" i="2"/>
  <c r="C12" i="2"/>
  <c r="E5" i="2"/>
  <c r="E12" i="2"/>
  <c r="E6" i="2"/>
  <c r="C13" i="2"/>
  <c r="C5" i="2"/>
  <c r="E13" i="2"/>
  <c r="C8" i="2"/>
  <c r="C11" i="2"/>
  <c r="C6" i="2"/>
  <c r="E11" i="2"/>
  <c r="C10" i="2"/>
  <c r="E10" i="2"/>
  <c r="E4" i="2"/>
  <c r="E9" i="2"/>
  <c r="E8" i="2"/>
  <c r="C14" i="2"/>
  <c r="E7" i="2"/>
  <c r="D11" i="2"/>
  <c r="G11" i="2" s="1"/>
  <c r="D9" i="2"/>
  <c r="D10" i="2"/>
  <c r="G10" i="2" s="1"/>
  <c r="D13" i="2"/>
  <c r="G13" i="2" s="1"/>
  <c r="D8" i="2"/>
  <c r="G8" i="2" s="1"/>
  <c r="D7" i="2"/>
  <c r="G7" i="2" s="1"/>
  <c r="G4" i="2"/>
  <c r="D14" i="2"/>
  <c r="G14" i="2" s="1"/>
  <c r="D5" i="2"/>
  <c r="G5" i="2" s="1"/>
  <c r="D12" i="2"/>
  <c r="G12" i="2" s="1"/>
  <c r="D6" i="2"/>
  <c r="G6" i="2" s="1"/>
  <c r="N3" i="1"/>
  <c r="H22" i="25" l="1"/>
  <c r="H24" i="25" s="1"/>
  <c r="O22" i="6" s="1"/>
  <c r="K2" i="25"/>
  <c r="G14" i="21"/>
  <c r="N5" i="1"/>
  <c r="C11" i="1" s="1"/>
  <c r="D11" i="1" s="1"/>
  <c r="R4" i="1"/>
  <c r="R5" i="1" s="1"/>
  <c r="N13" i="1"/>
  <c r="N12" i="1"/>
  <c r="G9" i="2"/>
  <c r="I35" i="1"/>
  <c r="O23" i="6" l="1"/>
  <c r="K11" i="25"/>
  <c r="K14" i="25" s="1"/>
  <c r="C28" i="1"/>
  <c r="D28" i="1" s="1"/>
  <c r="E28" i="1" s="1"/>
  <c r="C33" i="1"/>
  <c r="I33" i="1" s="1"/>
  <c r="J33" i="1" s="1"/>
  <c r="C25" i="1"/>
  <c r="D25" i="1" s="1"/>
  <c r="E25" i="1" s="1"/>
  <c r="C20" i="1"/>
  <c r="D20" i="1" s="1"/>
  <c r="E20" i="1" s="1"/>
  <c r="C29" i="1"/>
  <c r="D29" i="1" s="1"/>
  <c r="H29" i="1" s="1"/>
  <c r="C8" i="1"/>
  <c r="D8" i="1" s="1"/>
  <c r="E8" i="1" s="1"/>
  <c r="C9" i="1"/>
  <c r="D9" i="1" s="1"/>
  <c r="H9" i="1" s="1"/>
  <c r="C17" i="1"/>
  <c r="D17" i="1" s="1"/>
  <c r="E17" i="1" s="1"/>
  <c r="C15" i="1"/>
  <c r="D15" i="1" s="1"/>
  <c r="E15" i="1" s="1"/>
  <c r="C16" i="1"/>
  <c r="D16" i="1" s="1"/>
  <c r="E16" i="1" s="1"/>
  <c r="C26" i="1"/>
  <c r="D26" i="1" s="1"/>
  <c r="E26" i="1" s="1"/>
  <c r="C24" i="1"/>
  <c r="D24" i="1" s="1"/>
  <c r="H24" i="1" s="1"/>
  <c r="C7" i="1"/>
  <c r="D7" i="1" s="1"/>
  <c r="E7" i="1" s="1"/>
  <c r="C13" i="1"/>
  <c r="D13" i="1" s="1"/>
  <c r="E13" i="1" s="1"/>
  <c r="C31" i="1"/>
  <c r="D31" i="1" s="1"/>
  <c r="E31" i="1" s="1"/>
  <c r="C27" i="1"/>
  <c r="D27" i="1" s="1"/>
  <c r="E27" i="1" s="1"/>
  <c r="C4" i="1"/>
  <c r="I4" i="1" s="1"/>
  <c r="C30" i="1"/>
  <c r="D30" i="1" s="1"/>
  <c r="E30" i="1" s="1"/>
  <c r="C6" i="1"/>
  <c r="D6" i="1" s="1"/>
  <c r="E6" i="1" s="1"/>
  <c r="C32" i="1"/>
  <c r="D32" i="1" s="1"/>
  <c r="E32" i="1" s="1"/>
  <c r="C5" i="1"/>
  <c r="D5" i="1" s="1"/>
  <c r="H5" i="1" s="1"/>
  <c r="C12" i="1"/>
  <c r="D12" i="1" s="1"/>
  <c r="H12" i="1" s="1"/>
  <c r="C14" i="1"/>
  <c r="D14" i="1" s="1"/>
  <c r="E14" i="1" s="1"/>
  <c r="C21" i="1"/>
  <c r="D21" i="1" s="1"/>
  <c r="H21" i="1" s="1"/>
  <c r="C23" i="1"/>
  <c r="D23" i="1" s="1"/>
  <c r="E23" i="1" s="1"/>
  <c r="C19" i="1"/>
  <c r="D19" i="1" s="1"/>
  <c r="H19" i="1" s="1"/>
  <c r="C18" i="1"/>
  <c r="D18" i="1" s="1"/>
  <c r="E18" i="1" s="1"/>
  <c r="C22" i="1"/>
  <c r="D22" i="1" s="1"/>
  <c r="E22" i="1" s="1"/>
  <c r="C10" i="1"/>
  <c r="D10" i="1" s="1"/>
  <c r="H10" i="1" s="1"/>
  <c r="I11" i="1"/>
  <c r="H11" i="1"/>
  <c r="E11" i="1"/>
  <c r="K35" i="1"/>
  <c r="J35" i="1"/>
  <c r="K33" i="1" l="1"/>
  <c r="I28" i="1"/>
  <c r="K28" i="1" s="1"/>
  <c r="M33" i="1"/>
  <c r="H28" i="1"/>
  <c r="D33" i="1"/>
  <c r="H33" i="1" s="1"/>
  <c r="D4" i="1"/>
  <c r="H4" i="1" s="1"/>
  <c r="I25" i="1"/>
  <c r="K25" i="1" s="1"/>
  <c r="H25" i="1"/>
  <c r="H20" i="1"/>
  <c r="I17" i="1"/>
  <c r="K17" i="1" s="1"/>
  <c r="I20" i="1"/>
  <c r="H8" i="1"/>
  <c r="I29" i="1"/>
  <c r="J29" i="1" s="1"/>
  <c r="I24" i="1"/>
  <c r="J24" i="1" s="1"/>
  <c r="E29" i="1"/>
  <c r="I13" i="1"/>
  <c r="J13" i="1" s="1"/>
  <c r="H17" i="1"/>
  <c r="I26" i="1"/>
  <c r="J26" i="1" s="1"/>
  <c r="E9" i="1"/>
  <c r="I16" i="1"/>
  <c r="K16" i="1" s="1"/>
  <c r="I15" i="1"/>
  <c r="K15" i="1" s="1"/>
  <c r="H26" i="1"/>
  <c r="H16" i="1"/>
  <c r="I9" i="1"/>
  <c r="J9" i="1" s="1"/>
  <c r="I8" i="1"/>
  <c r="K8" i="1" s="1"/>
  <c r="H15" i="1"/>
  <c r="E24" i="1"/>
  <c r="I7" i="1"/>
  <c r="J7" i="1" s="1"/>
  <c r="H22" i="1"/>
  <c r="H31" i="1"/>
  <c r="I27" i="1"/>
  <c r="K27" i="1" s="1"/>
  <c r="H13" i="1"/>
  <c r="I31" i="1"/>
  <c r="K31" i="1" s="1"/>
  <c r="H7" i="1"/>
  <c r="H27" i="1"/>
  <c r="H32" i="1"/>
  <c r="H30" i="1"/>
  <c r="I21" i="1"/>
  <c r="K21" i="1" s="1"/>
  <c r="E5" i="1"/>
  <c r="I6" i="1"/>
  <c r="K6" i="1" s="1"/>
  <c r="E12" i="1"/>
  <c r="K4" i="1"/>
  <c r="H23" i="1"/>
  <c r="I19" i="1"/>
  <c r="K19" i="1" s="1"/>
  <c r="H14" i="1"/>
  <c r="H18" i="1"/>
  <c r="E21" i="1"/>
  <c r="E19" i="1"/>
  <c r="I18" i="1"/>
  <c r="K18" i="1" s="1"/>
  <c r="I10" i="1"/>
  <c r="J10" i="1" s="1"/>
  <c r="I12" i="1"/>
  <c r="J12" i="1" s="1"/>
  <c r="I5" i="1"/>
  <c r="J5" i="1" s="1"/>
  <c r="I14" i="1"/>
  <c r="K14" i="1" s="1"/>
  <c r="I30" i="1"/>
  <c r="J30" i="1" s="1"/>
  <c r="I32" i="1"/>
  <c r="J32" i="1" s="1"/>
  <c r="H6" i="1"/>
  <c r="I22" i="1"/>
  <c r="K22" i="1" s="1"/>
  <c r="I23" i="1"/>
  <c r="K23" i="1" s="1"/>
  <c r="E10" i="1"/>
  <c r="J28" i="1"/>
  <c r="J11" i="1"/>
  <c r="K11" i="1"/>
  <c r="J20" i="1"/>
  <c r="K20" i="1"/>
  <c r="N24" i="1"/>
  <c r="N25" i="1" s="1"/>
  <c r="N26" i="1" s="1"/>
  <c r="N27" i="1" s="1"/>
  <c r="F21" i="1"/>
  <c r="F6" i="1"/>
  <c r="F7" i="1"/>
  <c r="F35" i="1"/>
  <c r="F30" i="1"/>
  <c r="F10" i="1"/>
  <c r="F32" i="1"/>
  <c r="F11" i="1"/>
  <c r="F4" i="1"/>
  <c r="F19" i="1"/>
  <c r="F15" i="1"/>
  <c r="F23" i="1"/>
  <c r="F22" i="1"/>
  <c r="F8" i="1"/>
  <c r="F24" i="1"/>
  <c r="F9" i="1"/>
  <c r="F14" i="1"/>
  <c r="F5" i="1"/>
  <c r="F31" i="1"/>
  <c r="F17" i="1"/>
  <c r="F18" i="1"/>
  <c r="F13" i="1"/>
  <c r="F12" i="1"/>
  <c r="F27" i="1"/>
  <c r="F25" i="1"/>
  <c r="F29" i="1"/>
  <c r="F26" i="1"/>
  <c r="F20" i="1"/>
  <c r="F16" i="1"/>
  <c r="F28" i="1"/>
  <c r="N14" i="1"/>
  <c r="G31" i="1" s="1"/>
  <c r="F33" i="1" l="1"/>
  <c r="E33" i="1"/>
  <c r="J25" i="1"/>
  <c r="E4" i="1"/>
  <c r="J17" i="1"/>
  <c r="K29" i="1"/>
  <c r="K13" i="1"/>
  <c r="K26" i="1"/>
  <c r="K24" i="1"/>
  <c r="J15" i="1"/>
  <c r="J16" i="1"/>
  <c r="K9" i="1"/>
  <c r="J27" i="1"/>
  <c r="K7" i="1"/>
  <c r="J4" i="1"/>
  <c r="J8" i="1"/>
  <c r="K12" i="1"/>
  <c r="J21" i="1"/>
  <c r="K5" i="1"/>
  <c r="J31" i="1"/>
  <c r="J6" i="1"/>
  <c r="J18" i="1"/>
  <c r="J22" i="1"/>
  <c r="J19" i="1"/>
  <c r="K32" i="1"/>
  <c r="J23" i="1"/>
  <c r="N15" i="1"/>
  <c r="K10" i="1"/>
  <c r="K30" i="1"/>
  <c r="J14" i="1"/>
  <c r="G22" i="1"/>
  <c r="G20" i="1"/>
  <c r="G16" i="1"/>
  <c r="G12" i="1"/>
  <c r="G28" i="1"/>
  <c r="G27" i="1"/>
  <c r="G29" i="1"/>
  <c r="G24" i="1"/>
  <c r="G4" i="1"/>
  <c r="G17" i="1"/>
  <c r="G9" i="1"/>
  <c r="G5" i="1"/>
  <c r="G25" i="1"/>
  <c r="G19" i="1"/>
  <c r="G30" i="1"/>
  <c r="G7" i="1"/>
  <c r="G15" i="1"/>
  <c r="G11" i="1"/>
  <c r="G8" i="1"/>
  <c r="G10" i="1"/>
  <c r="G18" i="1"/>
  <c r="G32" i="1"/>
  <c r="G13" i="1"/>
  <c r="G26" i="1"/>
  <c r="G14" i="1"/>
  <c r="G21" i="1"/>
  <c r="G6" i="1"/>
  <c r="G33" i="1"/>
  <c r="G35" i="1"/>
  <c r="G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<sst xmlns="http://schemas.openxmlformats.org/spreadsheetml/2006/main" count="655" uniqueCount="331">
  <si>
    <t>R1 (kOhm)</t>
  </si>
  <si>
    <t>R2 (kOhm)</t>
  </si>
  <si>
    <t>V</t>
  </si>
  <si>
    <t>Rth (kOhm)</t>
  </si>
  <si>
    <t>Ino (mA)</t>
  </si>
  <si>
    <t>R1/R2</t>
  </si>
  <si>
    <t>N/U</t>
  </si>
  <si>
    <t>Cadc</t>
  </si>
  <si>
    <t>Ctrace</t>
  </si>
  <si>
    <t>pF</t>
  </si>
  <si>
    <t>Ptherm (mW)</t>
  </si>
  <si>
    <t>Nb cycles ADC</t>
  </si>
  <si>
    <t>Freq ADC</t>
  </si>
  <si>
    <t>MHz</t>
  </si>
  <si>
    <t>cycles</t>
  </si>
  <si>
    <t>ns</t>
  </si>
  <si>
    <t>t sampling</t>
  </si>
  <si>
    <t xml:space="preserve">To ensure a good feeding of the ADC </t>
  </si>
  <si>
    <t>sampling capacitance</t>
  </si>
  <si>
    <t xml:space="preserve">We can note that, using a direct reading, </t>
  </si>
  <si>
    <t xml:space="preserve">it will be hard to have a quality reading on the </t>
  </si>
  <si>
    <t>ADC with low power dissipation</t>
  </si>
  <si>
    <t>tsamp &gt; S*RC</t>
  </si>
  <si>
    <t>Only relevant if Cin_adc = 0</t>
  </si>
  <si>
    <t>kHz</t>
  </si>
  <si>
    <t xml:space="preserve">ADC resolution </t>
  </si>
  <si>
    <t>bit</t>
  </si>
  <si>
    <t>steps</t>
  </si>
  <si>
    <t>V/step</t>
  </si>
  <si>
    <t>ADC usefull steps</t>
  </si>
  <si>
    <t>Allowed error</t>
  </si>
  <si>
    <t>%</t>
  </si>
  <si>
    <t>°C/W</t>
  </si>
  <si>
    <t>°C</t>
  </si>
  <si>
    <t>Ambient temp</t>
  </si>
  <si>
    <t>F_filtered(MHz)</t>
  </si>
  <si>
    <t>Cin_adc (0 is an option)</t>
  </si>
  <si>
    <t>Real error (mean)</t>
  </si>
  <si>
    <t>Ok if &lt; tsample</t>
  </si>
  <si>
    <t>Ok if &gt; Sf * Fmax</t>
  </si>
  <si>
    <t>thermal resistance 2012m</t>
  </si>
  <si>
    <t>Increase 2012m (°C)</t>
  </si>
  <si>
    <t>Increase 2520m (°C)</t>
  </si>
  <si>
    <t>thermal resistance 2520m</t>
  </si>
  <si>
    <t>security on freq (f)</t>
  </si>
  <si>
    <t>Amplitude error</t>
  </si>
  <si>
    <t>Phase error</t>
  </si>
  <si>
    <t>°</t>
  </si>
  <si>
    <t>Minimal I to sens</t>
  </si>
  <si>
    <t>A</t>
  </si>
  <si>
    <t>ADC range</t>
  </si>
  <si>
    <t>Duty Cycle</t>
  </si>
  <si>
    <t>mV</t>
  </si>
  <si>
    <t>Disspated power (W)</t>
  </si>
  <si>
    <t>Rshunt (µOhm)</t>
  </si>
  <si>
    <t>Physic analysis of the Vsensing</t>
  </si>
  <si>
    <t>Physic analysis of the Isensing</t>
  </si>
  <si>
    <t>mV/s</t>
  </si>
  <si>
    <t>OPAMP gain</t>
  </si>
  <si>
    <t>mA/step</t>
  </si>
  <si>
    <t>S*RCext (ns)</t>
  </si>
  <si>
    <t>S*RCint (ns)</t>
  </si>
  <si>
    <t>Charge factor (Sext)</t>
  </si>
  <si>
    <t>Charge factor (Sint)</t>
  </si>
  <si>
    <t>Minimal blanking time</t>
  </si>
  <si>
    <t>The whole ESC can dissipate up to 1.5W still and 3W with forced air</t>
  </si>
  <si>
    <t>Aimed Vth@45V</t>
  </si>
  <si>
    <t>Resistance on the ADC trace</t>
  </si>
  <si>
    <t>Ohm</t>
  </si>
  <si>
    <t>ADC conversion time</t>
  </si>
  <si>
    <t>ADC sampling time</t>
  </si>
  <si>
    <t>ADC total time</t>
  </si>
  <si>
    <t>I_D</t>
  </si>
  <si>
    <t>Duty cycle</t>
  </si>
  <si>
    <t>D</t>
  </si>
  <si>
    <t>Drain-to-Source voltage</t>
  </si>
  <si>
    <t>V_DS</t>
  </si>
  <si>
    <t>Drain-to-Source electrical resistance</t>
  </si>
  <si>
    <t>Rise time</t>
  </si>
  <si>
    <t>t_r</t>
  </si>
  <si>
    <t>Fall time</t>
  </si>
  <si>
    <t>t_f</t>
  </si>
  <si>
    <t>Switching frequency (PWM)</t>
  </si>
  <si>
    <t>f_pwm</t>
  </si>
  <si>
    <t>Drained current mean</t>
  </si>
  <si>
    <r>
      <t>m</t>
    </r>
    <r>
      <rPr>
        <sz val="11"/>
        <color theme="1"/>
        <rFont val="Aptos Narrow"/>
        <family val="2"/>
      </rPr>
      <t>Ω</t>
    </r>
  </si>
  <si>
    <t>R_DS,on</t>
  </si>
  <si>
    <t>P_cond</t>
  </si>
  <si>
    <t>W</t>
  </si>
  <si>
    <t>Switching thermal losses</t>
  </si>
  <si>
    <t>P_sw</t>
  </si>
  <si>
    <t>P_tot</t>
  </si>
  <si>
    <t>Conduction thermal losses max</t>
  </si>
  <si>
    <t>Total thermal losses for ESC</t>
  </si>
  <si>
    <t>Rated for 64kHz without active cooling for v1</t>
  </si>
  <si>
    <t>Term goal is 128kHz but will require review of the gate resistor setup</t>
  </si>
  <si>
    <t>95% duty is the goal for v1</t>
  </si>
  <si>
    <t>Vdd (V)</t>
  </si>
  <si>
    <t>Vhbr (V)</t>
  </si>
  <si>
    <t>Ihbs (mA)</t>
  </si>
  <si>
    <t>Ihb (mA)</t>
  </si>
  <si>
    <t>Fmax (kHz)</t>
  </si>
  <si>
    <t>MOSFET</t>
  </si>
  <si>
    <t>Name</t>
  </si>
  <si>
    <t>Manifacturer</t>
  </si>
  <si>
    <t>STM</t>
  </si>
  <si>
    <t>STL180N6F7</t>
  </si>
  <si>
    <t>NVMFS5C604NL</t>
  </si>
  <si>
    <t>Onsemi</t>
  </si>
  <si>
    <r>
      <t>Rds,on@10V typ(m</t>
    </r>
    <r>
      <rPr>
        <sz val="11"/>
        <color theme="1"/>
        <rFont val="Aptos Narrow"/>
        <family val="2"/>
      </rPr>
      <t>Ω)</t>
    </r>
  </si>
  <si>
    <t>Rds,on@10V max (mΩ)</t>
  </si>
  <si>
    <t>Rise time (ns)</t>
  </si>
  <si>
    <t>Fall time (ns)</t>
  </si>
  <si>
    <t>Chose the part:</t>
  </si>
  <si>
    <t>No</t>
  </si>
  <si>
    <t>Yes</t>
  </si>
  <si>
    <t>Part</t>
  </si>
  <si>
    <t>LIMITS</t>
  </si>
  <si>
    <t>V1.0</t>
  </si>
  <si>
    <t>V2.0</t>
  </si>
  <si>
    <t>Fmin (kHz)</t>
  </si>
  <si>
    <t>Batt max (S)</t>
  </si>
  <si>
    <t>Batt min (S)</t>
  </si>
  <si>
    <t>Cell max (V)</t>
  </si>
  <si>
    <t>Cell typ (V)</t>
  </si>
  <si>
    <t>Cell min (V)</t>
  </si>
  <si>
    <t>Frame size (")</t>
  </si>
  <si>
    <t>Resolution (bit)</t>
  </si>
  <si>
    <t>Rtop (Ω)</t>
  </si>
  <si>
    <t>Rbot (Ω)</t>
  </si>
  <si>
    <t>Computed data:</t>
  </si>
  <si>
    <t>Input data:</t>
  </si>
  <si>
    <t>STM32G4 internal</t>
  </si>
  <si>
    <t>Vin,max@vin (V)</t>
  </si>
  <si>
    <t>Rbot/Rtop</t>
  </si>
  <si>
    <t>Rth (Ω)</t>
  </si>
  <si>
    <t>Iadc (mA)</t>
  </si>
  <si>
    <t>R_CinToAdc (Ω)</t>
  </si>
  <si>
    <t>S*RCint (ps)</t>
  </si>
  <si>
    <t>Min blank time (ns)</t>
  </si>
  <si>
    <t>ADC/OpAmp Isense</t>
  </si>
  <si>
    <t>OpAmp gain</t>
  </si>
  <si>
    <r>
      <t>Rg,off (</t>
    </r>
    <r>
      <rPr>
        <sz val="11"/>
        <color theme="1"/>
        <rFont val="Aptos Narrow"/>
        <family val="2"/>
      </rPr>
      <t>Ω)</t>
    </r>
  </si>
  <si>
    <t>Rboot,int (Ω)</t>
  </si>
  <si>
    <t>Vout (V)</t>
  </si>
  <si>
    <t>Gate Driver</t>
  </si>
  <si>
    <t>Rboot,ext (Ω)</t>
  </si>
  <si>
    <t>Cboot,min (nF)</t>
  </si>
  <si>
    <t>Vfint,100mA (V)</t>
  </si>
  <si>
    <r>
      <t>Rg,on+off (</t>
    </r>
    <r>
      <rPr>
        <sz val="11"/>
        <color theme="1"/>
        <rFont val="Aptos Narrow"/>
        <family val="2"/>
      </rPr>
      <t>Ω)</t>
    </r>
  </si>
  <si>
    <t>Rpu,hs (Ω)</t>
  </si>
  <si>
    <t>Rpu,ls (Ω)</t>
  </si>
  <si>
    <t>Rpd,hs (Ω)</t>
  </si>
  <si>
    <t>Rpd,ls (Ω)</t>
  </si>
  <si>
    <t>Voltage drop spike amp (V)</t>
  </si>
  <si>
    <t>Iph typ (A)</t>
  </si>
  <si>
    <t>Iph max (A@Xs)</t>
  </si>
  <si>
    <t>Iph spike (A@Xms)</t>
  </si>
  <si>
    <t>Voltage drop max amp (V)</t>
  </si>
  <si>
    <t>Voltage drop typ amp (V)2</t>
  </si>
  <si>
    <t>ToF Iph typ (%)</t>
  </si>
  <si>
    <t>ToF Iph max (%)</t>
  </si>
  <si>
    <t>ToF Iph spike (%)</t>
  </si>
  <si>
    <t>Iph mean (A)</t>
  </si>
  <si>
    <t>JLCPBC stock</t>
  </si>
  <si>
    <t>Vds (V)</t>
  </si>
  <si>
    <t>TPN4R806PL</t>
  </si>
  <si>
    <t>Toshiba</t>
  </si>
  <si>
    <t>Id,pulsed (A)</t>
  </si>
  <si>
    <t>Id @ Tc=25°C (A)</t>
  </si>
  <si>
    <t>Id @ Ta=25°C (A)</t>
  </si>
  <si>
    <t>Size (mm)</t>
  </si>
  <si>
    <t>3.3x3.3</t>
  </si>
  <si>
    <t>5x6</t>
  </si>
  <si>
    <t>X</t>
  </si>
  <si>
    <t>SiR186LDP</t>
  </si>
  <si>
    <t>Vishay</t>
  </si>
  <si>
    <t>Qg,typ @ 10V (nC)</t>
  </si>
  <si>
    <t>Id @ Tc&gt;70°C (A)</t>
  </si>
  <si>
    <t>Id @ Ta&gt;70°C (A)</t>
  </si>
  <si>
    <t>Infineon</t>
  </si>
  <si>
    <t>BSC027N06LS5</t>
  </si>
  <si>
    <t>~Yes</t>
  </si>
  <si>
    <t>Qg,max @ 10V (nC)</t>
  </si>
  <si>
    <t>(est &lt;15)</t>
  </si>
  <si>
    <t>(est ~15)</t>
  </si>
  <si>
    <t>BSC016N06NS</t>
  </si>
  <si>
    <t>(est ~13-15A)</t>
  </si>
  <si>
    <t>(est ~21A)</t>
  </si>
  <si>
    <t>V1.0 (hard flight)</t>
  </si>
  <si>
    <t>V1.0 (95%D)</t>
  </si>
  <si>
    <t>V1.0 (48kHz)</t>
  </si>
  <si>
    <t>Vbat spike (V) @ disarm</t>
  </si>
  <si>
    <t>Vbat spike (V) @ run</t>
  </si>
  <si>
    <t>Vph spike (V) @ disarm</t>
  </si>
  <si>
    <t>Vph spike (V) @ run</t>
  </si>
  <si>
    <t>Highest frequency (Fmax)</t>
  </si>
  <si>
    <t>TI</t>
  </si>
  <si>
    <t>Qg,typ,sync @ 10V (nC)</t>
  </si>
  <si>
    <t>Depend of Rg</t>
  </si>
  <si>
    <t>V1.0 (48kHz + hard flight)</t>
  </si>
  <si>
    <t>Version:</t>
  </si>
  <si>
    <t>Reference:</t>
  </si>
  <si>
    <t>TI CSD18540Q5B</t>
  </si>
  <si>
    <t>Infineon 2EDL8024</t>
  </si>
  <si>
    <t>GD</t>
  </si>
  <si>
    <t>Ref</t>
  </si>
  <si>
    <t>Rohm RB161QS-40</t>
  </si>
  <si>
    <t>Vf (V)</t>
  </si>
  <si>
    <t>Vf@100mA (V)</t>
  </si>
  <si>
    <t>Dext,boot</t>
  </si>
  <si>
    <r>
      <t>R (</t>
    </r>
    <r>
      <rPr>
        <sz val="11"/>
        <color theme="1"/>
        <rFont val="Aptos Narrow"/>
        <family val="2"/>
      </rPr>
      <t>Ω)</t>
    </r>
  </si>
  <si>
    <t>Ipd (mA)</t>
  </si>
  <si>
    <t>Cboot</t>
  </si>
  <si>
    <t>Expected derating (%)</t>
  </si>
  <si>
    <t>Cboot (nF)</t>
  </si>
  <si>
    <t>Rpull-down,gate</t>
  </si>
  <si>
    <t>t_recharge (µs)</t>
  </si>
  <si>
    <t>Vboot,max (V)</t>
  </si>
  <si>
    <t>ΔVboot,max (V)</t>
  </si>
  <si>
    <t>Vboot,min (V)</t>
  </si>
  <si>
    <t>Vboot,max@Dmax (V)</t>
  </si>
  <si>
    <r>
      <t>Req (</t>
    </r>
    <r>
      <rPr>
        <sz val="11"/>
        <color theme="1"/>
        <rFont val="Aptos Narrow"/>
        <family val="2"/>
      </rPr>
      <t>Ω)</t>
    </r>
  </si>
  <si>
    <t>Qbs (nC)</t>
  </si>
  <si>
    <t>t_blank@V_sw=0 (ns)</t>
  </si>
  <si>
    <t>Diode - Dboot</t>
  </si>
  <si>
    <t>Rboot,ext</t>
  </si>
  <si>
    <t>R (kΩ)</t>
  </si>
  <si>
    <t>Rpd,gate (kΩ)</t>
  </si>
  <si>
    <t>Basic JLCPCB capacitances</t>
  </si>
  <si>
    <t>Gate resistors</t>
  </si>
  <si>
    <t>GATE RESISTOR</t>
  </si>
  <si>
    <t>GATE DRIVER</t>
  </si>
  <si>
    <r>
      <t>Req,on (</t>
    </r>
    <r>
      <rPr>
        <sz val="11"/>
        <color theme="1"/>
        <rFont val="Aptos Narrow"/>
        <family val="2"/>
      </rPr>
      <t>Ω)</t>
    </r>
  </si>
  <si>
    <t>Pg,loss (mW)</t>
  </si>
  <si>
    <t>Vhbh,max (V)</t>
  </si>
  <si>
    <t>Rg,eq,off</t>
  </si>
  <si>
    <r>
      <t>Rg,mean (</t>
    </r>
    <r>
      <rPr>
        <sz val="11"/>
        <color theme="1"/>
        <rFont val="Aptos Narrow"/>
        <family val="2"/>
      </rPr>
      <t>Ω)</t>
    </r>
  </si>
  <si>
    <t>Prg,mean (mW)</t>
  </si>
  <si>
    <t>Safety margin on Cboot</t>
  </si>
  <si>
    <t>Safety margin on losses</t>
  </si>
  <si>
    <t>Pg,loss,min (mW)</t>
  </si>
  <si>
    <t>Rshunt</t>
  </si>
  <si>
    <r>
      <t>Rshunt (µ</t>
    </r>
    <r>
      <rPr>
        <sz val="11"/>
        <color theme="1"/>
        <rFont val="Aptos Narrow"/>
        <family val="2"/>
      </rPr>
      <t>Ω</t>
    </r>
    <r>
      <rPr>
        <sz val="9.35"/>
        <color theme="1"/>
        <rFont val="Aptos Narrow"/>
        <family val="2"/>
      </rPr>
      <t>)</t>
    </r>
  </si>
  <si>
    <t>Vshunt,typ (mV)</t>
  </si>
  <si>
    <t>Vshunt,spike (mV)</t>
  </si>
  <si>
    <t>ADC &amp; OpAmp</t>
  </si>
  <si>
    <t>Vmax (V)</t>
  </si>
  <si>
    <t>Vshunt,amp,typ (V)</t>
  </si>
  <si>
    <t>Vshunt,amp,spike (V)</t>
  </si>
  <si>
    <t>Pshunt,mean (mW)</t>
  </si>
  <si>
    <t>Pshunt,max (mW@Xs)</t>
  </si>
  <si>
    <t>Dmax (%)</t>
  </si>
  <si>
    <t>Cboot &amp; Rboot,ext</t>
  </si>
  <si>
    <t>ADC Isense</t>
  </si>
  <si>
    <r>
      <t>Rv2 (</t>
    </r>
    <r>
      <rPr>
        <sz val="11"/>
        <color theme="1"/>
        <rFont val="Aptos Narrow"/>
        <family val="2"/>
      </rPr>
      <t>Ω)</t>
    </r>
  </si>
  <si>
    <t>Rv2 &amp; Rtrace</t>
  </si>
  <si>
    <t>Prv1,rv2 (mW)</t>
  </si>
  <si>
    <t>Description</t>
  </si>
  <si>
    <t>Prated@70°C (W)</t>
  </si>
  <si>
    <t>Package (inch)</t>
  </si>
  <si>
    <t>Package (m)</t>
  </si>
  <si>
    <t>0805</t>
  </si>
  <si>
    <t>2012m</t>
  </si>
  <si>
    <t>Basic</t>
  </si>
  <si>
    <t>Rv2 name</t>
  </si>
  <si>
    <t>UKN</t>
  </si>
  <si>
    <t>Cboot,th (nF)</t>
  </si>
  <si>
    <t>Cadc,ext (pF)</t>
  </si>
  <si>
    <t>Cadc,ext</t>
  </si>
  <si>
    <t>Vdivider,spike (V)</t>
  </si>
  <si>
    <t>Vbat,typ (V)</t>
  </si>
  <si>
    <t>Vbat,min (V)</t>
  </si>
  <si>
    <t>Vdivider,typ (V)</t>
  </si>
  <si>
    <t>Imax-in,adc,typ (mA)</t>
  </si>
  <si>
    <t>Imax-in,adc,spike (mA)</t>
  </si>
  <si>
    <r>
      <t>Rthvn (</t>
    </r>
    <r>
      <rPr>
        <sz val="11"/>
        <color theme="1"/>
        <rFont val="Aptos Narrow"/>
        <family val="2"/>
      </rPr>
      <t>Ω)</t>
    </r>
  </si>
  <si>
    <t>Idivider,typ (mA)</t>
  </si>
  <si>
    <t>33Ω, 2012m</t>
  </si>
  <si>
    <t>Vref,adc (V)</t>
  </si>
  <si>
    <t>ΔIlsb (mA/bit)</t>
  </si>
  <si>
    <t>Fadc,clock(MHz)</t>
  </si>
  <si>
    <t>Tadc,clock (ns)</t>
  </si>
  <si>
    <t>Nsamp (cycle)</t>
  </si>
  <si>
    <t>ΔVlsb,fullscale (mV/bit)</t>
  </si>
  <si>
    <t>Radc,ext name</t>
  </si>
  <si>
    <r>
      <t>Radc,ext (</t>
    </r>
    <r>
      <rPr>
        <sz val="11"/>
        <color theme="1"/>
        <rFont val="Aptos Narrow"/>
        <family val="2"/>
      </rPr>
      <t>Ω)</t>
    </r>
  </si>
  <si>
    <t>Csamp (pF)</t>
  </si>
  <si>
    <t>Cpad (pF)</t>
  </si>
  <si>
    <t>Ctrace,est (pF)</t>
  </si>
  <si>
    <t>Cadc,tot (pF)</t>
  </si>
  <si>
    <t>Tfill,adc,ext (ns)</t>
  </si>
  <si>
    <t>Cadc,ext,real (pF)</t>
  </si>
  <si>
    <t>Fc,adc,ext (MHz)</t>
  </si>
  <si>
    <t>Tfill,samp (ns)</t>
  </si>
  <si>
    <t>Charge factor (int)</t>
  </si>
  <si>
    <t>Charge factor (ext)</t>
  </si>
  <si>
    <t>1kΩ, 2012m</t>
  </si>
  <si>
    <t>Tfillsam just give a rought too conservative approx</t>
  </si>
  <si>
    <t>Radc,int &lt; Rain as we use an external capaciot</t>
  </si>
  <si>
    <t>ADC conversion time (ns)</t>
  </si>
  <si>
    <t>Vmiller (V)</t>
  </si>
  <si>
    <t>Ig,max,on (A)</t>
  </si>
  <si>
    <t>Ig,max,off (A)</t>
  </si>
  <si>
    <r>
      <t>Rg,int,max (</t>
    </r>
    <r>
      <rPr>
        <sz val="11"/>
        <color theme="1"/>
        <rFont val="Aptos Narrow"/>
        <family val="2"/>
      </rPr>
      <t>Ω)</t>
    </r>
  </si>
  <si>
    <t>Imiller,on (A)</t>
  </si>
  <si>
    <t>Imiller,off (A)</t>
  </si>
  <si>
    <t>Req,off (Ω)</t>
  </si>
  <si>
    <t>t_fall (ns)</t>
  </si>
  <si>
    <t>t_rise (ns)</t>
  </si>
  <si>
    <t>Qgd,typ (nC)</t>
  </si>
  <si>
    <r>
      <t>Rgatedriver,mean (</t>
    </r>
    <r>
      <rPr>
        <sz val="11"/>
        <color theme="1"/>
        <rFont val="Aptos Narrow"/>
        <family val="2"/>
      </rPr>
      <t>Ω)</t>
    </r>
  </si>
  <si>
    <t>Prgdint,mean (mW)</t>
  </si>
  <si>
    <t>Prg,off (mW)</t>
  </si>
  <si>
    <t>Prg,on+off (mW)</t>
  </si>
  <si>
    <t>Gate driving</t>
  </si>
  <si>
    <t>Pcond,max (mW)</t>
  </si>
  <si>
    <t>Pcond,mean (mW)</t>
  </si>
  <si>
    <t>Psw,typ (mW)</t>
  </si>
  <si>
    <t>Psw,max (mW)</t>
  </si>
  <si>
    <t>Ptot,typ (mW)</t>
  </si>
  <si>
    <t>Ptot,max (mW)</t>
  </si>
  <si>
    <t>Pboot (mW)</t>
  </si>
  <si>
    <t>Prboot (mW)</t>
  </si>
  <si>
    <t>Expected derating max (%)</t>
  </si>
  <si>
    <t>Expected derating min (%)</t>
  </si>
  <si>
    <t>Termistors</t>
  </si>
  <si>
    <t>3 (one at each FET)</t>
  </si>
  <si>
    <t>1 (at a FET)</t>
  </si>
  <si>
    <r>
      <t>Rv1 (</t>
    </r>
    <r>
      <rPr>
        <sz val="11"/>
        <color theme="1"/>
        <rFont val="Aptos Narrow"/>
        <family val="2"/>
      </rPr>
      <t>Ω)</t>
    </r>
  </si>
  <si>
    <r>
      <t>Rv1,th (</t>
    </r>
    <r>
      <rPr>
        <sz val="11"/>
        <color theme="1"/>
        <rFont val="Aptos Narrow"/>
        <family val="2"/>
      </rPr>
      <t>Ω)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</si>
</sst>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"/>
    <numFmt numFmtId="167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.35"/>
      <color theme="1"/>
      <name val="Aptos Narrow"/>
      <family val="2"/>
    </font>
    <font>
      <u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0" fillId="2" borderId="1" xfId="0" applyFill="1" applyBorder="1"/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0" fillId="4" borderId="0" xfId="0" applyFill="1" applyAlignment="1">
      <alignment horizontal="center"/>
    </xf>
    <xf numFmtId="0" fontId="0" fillId="2" borderId="5" xfId="0" applyFill="1" applyBorder="1"/>
    <xf numFmtId="0" fontId="0" fillId="0" borderId="6" xfId="0" applyBorder="1"/>
    <xf numFmtId="0" fontId="0" fillId="2" borderId="7" xfId="0" applyFill="1" applyBorder="1"/>
    <xf numFmtId="0" fontId="0" fillId="0" borderId="9" xfId="0" applyBorder="1"/>
    <xf numFmtId="165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164" fontId="0" fillId="0" borderId="8" xfId="0" applyNumberFormat="1" applyBorder="1" applyAlignment="1">
      <alignment horizontal="center"/>
    </xf>
    <xf numFmtId="167" fontId="2" fillId="6" borderId="1" xfId="0" applyNumberFormat="1" applyFont="1" applyFill="1" applyBorder="1" applyAlignment="1">
      <alignment horizontal="center"/>
    </xf>
    <xf numFmtId="166" fontId="2" fillId="6" borderId="1" xfId="0" applyNumberFormat="1" applyFont="1" applyFill="1" applyBorder="1" applyAlignment="1">
      <alignment horizontal="center"/>
    </xf>
    <xf numFmtId="166" fontId="2" fillId="6" borderId="0" xfId="0" applyNumberFormat="1" applyFont="1" applyFill="1" applyAlignment="1">
      <alignment horizontal="center"/>
    </xf>
    <xf numFmtId="167" fontId="2" fillId="6" borderId="0" xfId="0" applyNumberFormat="1" applyFont="1" applyFill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2" fillId="4" borderId="0" xfId="0" applyNumberFormat="1" applyFont="1" applyFill="1" applyAlignment="1">
      <alignment horizontal="center"/>
    </xf>
    <xf numFmtId="0" fontId="3" fillId="0" borderId="0" xfId="0" applyFont="1"/>
    <xf numFmtId="0" fontId="0" fillId="0" borderId="13" xfId="0" applyBorder="1"/>
    <xf numFmtId="1" fontId="0" fillId="0" borderId="0" xfId="0" applyNumberFormat="1" applyAlignment="1">
      <alignment horizontal="center"/>
    </xf>
    <xf numFmtId="0" fontId="2" fillId="0" borderId="0" xfId="0" applyFont="1"/>
    <xf numFmtId="0" fontId="0" fillId="7" borderId="1" xfId="0" applyFill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left"/>
    </xf>
    <xf numFmtId="0" fontId="0" fillId="6" borderId="1" xfId="0" applyFill="1" applyBorder="1"/>
    <xf numFmtId="0" fontId="0" fillId="0" borderId="14" xfId="0" applyBorder="1"/>
    <xf numFmtId="2" fontId="0" fillId="0" borderId="0" xfId="0" applyNumberFormat="1"/>
    <xf numFmtId="166" fontId="0" fillId="0" borderId="4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10" borderId="0" xfId="0" applyFill="1"/>
    <xf numFmtId="0" fontId="0" fillId="10" borderId="1" xfId="0" applyFill="1" applyBorder="1" applyAlignment="1">
      <alignment horizontal="center"/>
    </xf>
    <xf numFmtId="0" fontId="7" fillId="0" borderId="0" xfId="0" applyFont="1"/>
    <xf numFmtId="2" fontId="0" fillId="0" borderId="21" xfId="0" applyNumberFormat="1" applyBorder="1" applyAlignment="1">
      <alignment horizontal="center"/>
    </xf>
    <xf numFmtId="0" fontId="0" fillId="10" borderId="21" xfId="0" applyFill="1" applyBorder="1" applyAlignment="1">
      <alignment horizontal="left"/>
    </xf>
    <xf numFmtId="1" fontId="0" fillId="0" borderId="4" xfId="0" applyNumberFormat="1" applyBorder="1" applyAlignment="1">
      <alignment horizontal="center"/>
    </xf>
    <xf numFmtId="1" fontId="0" fillId="4" borderId="4" xfId="0" applyNumberForma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4" borderId="2" xfId="0" applyNumberForma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6" fillId="0" borderId="0" xfId="0" applyFont="1"/>
    <xf numFmtId="2" fontId="0" fillId="0" borderId="2" xfId="0" applyNumberFormat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0" borderId="6" xfId="0" applyBorder="1" applyAlignment="1">
      <alignment horizontal="center"/>
    </xf>
    <xf numFmtId="0" fontId="0" fillId="0" borderId="0" xfId="0" quotePrefix="1" applyAlignment="1">
      <alignment horizontal="right"/>
    </xf>
    <xf numFmtId="0" fontId="0" fillId="11" borderId="0" xfId="0" applyFill="1"/>
    <xf numFmtId="0" fontId="1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167" fontId="0" fillId="11" borderId="0" xfId="0" applyNumberFormat="1" applyFill="1" applyAlignment="1">
      <alignment horizontal="center"/>
    </xf>
    <xf numFmtId="0" fontId="0" fillId="12" borderId="0" xfId="0" applyFill="1"/>
    <xf numFmtId="0" fontId="0" fillId="6" borderId="10" xfId="0" applyFill="1" applyBorder="1"/>
    <xf numFmtId="1" fontId="0" fillId="0" borderId="12" xfId="0" applyNumberFormat="1" applyBorder="1" applyAlignment="1">
      <alignment horizontal="center"/>
    </xf>
    <xf numFmtId="0" fontId="0" fillId="6" borderId="5" xfId="0" applyFill="1" applyBorder="1"/>
    <xf numFmtId="0" fontId="0" fillId="12" borderId="24" xfId="0" applyFill="1" applyBorder="1"/>
    <xf numFmtId="0" fontId="0" fillId="12" borderId="25" xfId="0" applyFill="1" applyBorder="1"/>
    <xf numFmtId="0" fontId="0" fillId="5" borderId="5" xfId="0" applyFill="1" applyBorder="1"/>
    <xf numFmtId="2" fontId="0" fillId="0" borderId="6" xfId="0" applyNumberFormat="1" applyBorder="1" applyAlignment="1">
      <alignment horizontal="center"/>
    </xf>
    <xf numFmtId="0" fontId="0" fillId="12" borderId="26" xfId="0" applyFill="1" applyBorder="1"/>
    <xf numFmtId="0" fontId="0" fillId="12" borderId="27" xfId="0" applyFill="1" applyBorder="1"/>
    <xf numFmtId="2" fontId="0" fillId="0" borderId="12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0" fontId="0" fillId="5" borderId="32" xfId="0" applyFill="1" applyBorder="1"/>
    <xf numFmtId="2" fontId="0" fillId="0" borderId="33" xfId="0" applyNumberFormat="1" applyBorder="1" applyAlignment="1">
      <alignment horizontal="center"/>
    </xf>
    <xf numFmtId="0" fontId="0" fillId="12" borderId="22" xfId="0" applyFill="1" applyBorder="1"/>
    <xf numFmtId="0" fontId="0" fillId="12" borderId="23" xfId="0" applyFill="1" applyBorder="1"/>
    <xf numFmtId="167" fontId="0" fillId="0" borderId="33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0" fontId="0" fillId="5" borderId="7" xfId="0" applyFill="1" applyBorder="1"/>
    <xf numFmtId="1" fontId="0" fillId="0" borderId="9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67" fontId="0" fillId="0" borderId="12" xfId="0" applyNumberFormat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2" fontId="0" fillId="12" borderId="0" xfId="0" applyNumberFormat="1" applyFill="1" applyAlignment="1">
      <alignment horizontal="center"/>
    </xf>
    <xf numFmtId="1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167" fontId="0" fillId="12" borderId="0" xfId="0" applyNumberFormat="1" applyFill="1" applyAlignment="1">
      <alignment horizontal="center"/>
    </xf>
    <xf numFmtId="0" fontId="0" fillId="12" borderId="22" xfId="0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0" fillId="12" borderId="25" xfId="0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0" fillId="12" borderId="27" xfId="0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2" fontId="0" fillId="0" borderId="9" xfId="0" applyNumberFormat="1" applyBorder="1" applyAlignment="1">
      <alignment horizontal="center"/>
    </xf>
    <xf numFmtId="0" fontId="1" fillId="12" borderId="0" xfId="0" applyFont="1" applyFill="1" applyAlignment="1">
      <alignment horizontal="center"/>
    </xf>
    <xf numFmtId="0" fontId="0" fillId="12" borderId="22" xfId="0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12" borderId="26" xfId="0" applyFill="1" applyBorder="1" applyAlignment="1">
      <alignment horizontal="center" vertical="center"/>
    </xf>
    <xf numFmtId="0" fontId="0" fillId="12" borderId="27" xfId="0" applyFill="1" applyBorder="1" applyAlignment="1">
      <alignment horizontal="center" vertical="center"/>
    </xf>
    <xf numFmtId="0" fontId="2" fillId="12" borderId="0" xfId="0" applyFont="1" applyFill="1"/>
    <xf numFmtId="0" fontId="1" fillId="12" borderId="0" xfId="0" applyFont="1" applyFill="1"/>
    <xf numFmtId="0" fontId="2" fillId="3" borderId="28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0" fillId="8" borderId="5" xfId="0" applyFill="1" applyBorder="1"/>
    <xf numFmtId="0" fontId="0" fillId="8" borderId="7" xfId="0" applyFill="1" applyBorder="1"/>
    <xf numFmtId="0" fontId="0" fillId="0" borderId="9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6" borderId="7" xfId="0" applyFill="1" applyBorder="1"/>
    <xf numFmtId="0" fontId="1" fillId="9" borderId="34" xfId="0" applyFont="1" applyFill="1" applyBorder="1" applyAlignment="1">
      <alignment horizontal="center"/>
    </xf>
    <xf numFmtId="0" fontId="1" fillId="9" borderId="35" xfId="0" applyFont="1" applyFill="1" applyBorder="1" applyAlignment="1">
      <alignment horizontal="center"/>
    </xf>
    <xf numFmtId="0" fontId="1" fillId="5" borderId="5" xfId="0" applyFont="1" applyFill="1" applyBorder="1"/>
    <xf numFmtId="2" fontId="1" fillId="0" borderId="6" xfId="0" applyNumberFormat="1" applyFont="1" applyBorder="1" applyAlignment="1">
      <alignment horizontal="center"/>
    </xf>
    <xf numFmtId="0" fontId="1" fillId="5" borderId="7" xfId="0" applyFont="1" applyFill="1" applyBorder="1"/>
    <xf numFmtId="2" fontId="1" fillId="0" borderId="9" xfId="0" applyNumberFormat="1" applyFont="1" applyBorder="1" applyAlignment="1">
      <alignment horizontal="center"/>
    </xf>
    <xf numFmtId="167" fontId="1" fillId="0" borderId="6" xfId="0" applyNumberFormat="1" applyFont="1" applyBorder="1" applyAlignment="1">
      <alignment horizontal="center"/>
    </xf>
    <xf numFmtId="167" fontId="1" fillId="0" borderId="9" xfId="0" applyNumberFormat="1" applyFont="1" applyBorder="1" applyAlignment="1">
      <alignment horizontal="center"/>
    </xf>
    <xf numFmtId="0" fontId="0" fillId="8" borderId="36" xfId="0" applyFill="1" applyBorder="1"/>
    <xf numFmtId="0" fontId="0" fillId="0" borderId="13" xfId="0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0" fontId="9" fillId="8" borderId="5" xfId="0" applyFont="1" applyFill="1" applyBorder="1"/>
    <xf numFmtId="167" fontId="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" fillId="9" borderId="34" xfId="0" applyFont="1" applyFill="1" applyBorder="1" applyAlignment="1">
      <alignment horizontal="center"/>
    </xf>
    <xf numFmtId="0" fontId="1" fillId="9" borderId="35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0" fontId="0" fillId="12" borderId="0" xfId="0" applyFill="1" applyAlignment="1">
      <alignment horizontal="center"/>
    </xf>
    <xf numFmtId="0" fontId="1" fillId="12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0" fillId="12" borderId="22" xfId="0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12" borderId="26" xfId="0" applyFill="1" applyBorder="1" applyAlignment="1">
      <alignment horizontal="center" vertical="center"/>
    </xf>
    <xf numFmtId="0" fontId="0" fillId="12" borderId="27" xfId="0" applyFill="1" applyBorder="1" applyAlignment="1">
      <alignment horizontal="center" vertical="center"/>
    </xf>
    <xf numFmtId="0" fontId="0" fillId="12" borderId="22" xfId="0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0" fillId="12" borderId="27" xfId="0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5" borderId="7" xfId="0" applyFont="1" applyFill="1" applyBorder="1"/>
    <xf numFmtId="1" fontId="0" fillId="0" borderId="9" xfId="0" applyNumberFormat="1" applyFont="1" applyBorder="1" applyAlignment="1">
      <alignment horizontal="center"/>
    </xf>
  </cellXfs>
  <cellStyles count="1">
    <cellStyle name="Normal" xfId="0" builtinId="0"/>
  </cellStyles>
  <dxfs count="36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numFmt numFmtId="167" formatCode="0.0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outline="0">
        <right style="thin">
          <color indexed="64"/>
        </right>
      </border>
    </dxf>
    <dxf>
      <numFmt numFmtId="166" formatCode="0.0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4AC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image" Target="../media/image29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12" Type="http://schemas.openxmlformats.org/officeDocument/2006/relationships/image" Target="../media/image28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11" Type="http://schemas.openxmlformats.org/officeDocument/2006/relationships/image" Target="../media/image27.png"/><Relationship Id="rId5" Type="http://schemas.openxmlformats.org/officeDocument/2006/relationships/image" Target="../media/image21.png"/><Relationship Id="rId10" Type="http://schemas.openxmlformats.org/officeDocument/2006/relationships/image" Target="../media/image26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Relationship Id="rId14" Type="http://schemas.openxmlformats.org/officeDocument/2006/relationships/image" Target="../media/image30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png"/><Relationship Id="rId3" Type="http://schemas.openxmlformats.org/officeDocument/2006/relationships/image" Target="../media/image33.png"/><Relationship Id="rId7" Type="http://schemas.openxmlformats.org/officeDocument/2006/relationships/image" Target="../media/image37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5" Type="http://schemas.openxmlformats.org/officeDocument/2006/relationships/image" Target="../media/image35.png"/><Relationship Id="rId4" Type="http://schemas.openxmlformats.org/officeDocument/2006/relationships/image" Target="../media/image3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image" Target="../media/image50.png"/><Relationship Id="rId3" Type="http://schemas.openxmlformats.org/officeDocument/2006/relationships/image" Target="../media/image41.png"/><Relationship Id="rId7" Type="http://schemas.openxmlformats.org/officeDocument/2006/relationships/image" Target="../media/image45.png"/><Relationship Id="rId12" Type="http://schemas.openxmlformats.org/officeDocument/2006/relationships/image" Target="../media/image49.png"/><Relationship Id="rId2" Type="http://schemas.openxmlformats.org/officeDocument/2006/relationships/image" Target="../media/image40.png"/><Relationship Id="rId1" Type="http://schemas.openxmlformats.org/officeDocument/2006/relationships/image" Target="../media/image39.png"/><Relationship Id="rId6" Type="http://schemas.openxmlformats.org/officeDocument/2006/relationships/image" Target="../media/image44.png"/><Relationship Id="rId11" Type="http://schemas.openxmlformats.org/officeDocument/2006/relationships/image" Target="../media/image48.png"/><Relationship Id="rId5" Type="http://schemas.openxmlformats.org/officeDocument/2006/relationships/image" Target="../media/image43.png"/><Relationship Id="rId15" Type="http://schemas.openxmlformats.org/officeDocument/2006/relationships/image" Target="../media/image52.png"/><Relationship Id="rId10" Type="http://schemas.openxmlformats.org/officeDocument/2006/relationships/image" Target="../media/image47.png"/><Relationship Id="rId4" Type="http://schemas.openxmlformats.org/officeDocument/2006/relationships/image" Target="../media/image42.png"/><Relationship Id="rId9" Type="http://schemas.openxmlformats.org/officeDocument/2006/relationships/image" Target="../media/image46.png"/><Relationship Id="rId14" Type="http://schemas.openxmlformats.org/officeDocument/2006/relationships/image" Target="../media/image5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4.png"/><Relationship Id="rId1" Type="http://schemas.openxmlformats.org/officeDocument/2006/relationships/image" Target="../media/image5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12697</xdr:colOff>
      <xdr:row>38</xdr:row>
      <xdr:rowOff>39967</xdr:rowOff>
    </xdr:from>
    <xdr:to>
      <xdr:col>16</xdr:col>
      <xdr:colOff>215910</xdr:colOff>
      <xdr:row>43</xdr:row>
      <xdr:rowOff>69314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A4D629-35C9-4D8D-BBBE-D43D741F1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2197" y="7032438"/>
          <a:ext cx="3049508" cy="93067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365125</xdr:colOff>
      <xdr:row>15</xdr:row>
      <xdr:rowOff>69850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D93228-2427-AE6C-95FA-926A5DE40A9D}"/>
            </a:ext>
          </a:extLst>
        </xdr:cNvPr>
        <xdr:cNvSpPr txBox="1"/>
      </xdr:nvSpPr>
      <xdr:spPr>
        <a:xfrm>
          <a:off x="7445375" y="3016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365125</xdr:colOff>
      <xdr:row>15</xdr:row>
      <xdr:rowOff>69850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82D198B-2839-0C34-0A3F-97D77546D510}"/>
            </a:ext>
          </a:extLst>
        </xdr:cNvPr>
        <xdr:cNvSpPr txBox="1"/>
      </xdr:nvSpPr>
      <xdr:spPr>
        <a:xfrm>
          <a:off x="7445375" y="3016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365125</xdr:colOff>
      <xdr:row>15</xdr:row>
      <xdr:rowOff>69850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1E65F7A-2C9F-1659-896B-E874B67D80E6}"/>
            </a:ext>
          </a:extLst>
        </xdr:cNvPr>
        <xdr:cNvSpPr txBox="1"/>
      </xdr:nvSpPr>
      <xdr:spPr>
        <a:xfrm>
          <a:off x="7445375" y="3016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365125</xdr:colOff>
      <xdr:row>15</xdr:row>
      <xdr:rowOff>69850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224F856-3B20-43D5-1098-EE0A6AAA6F41}"/>
            </a:ext>
          </a:extLst>
        </xdr:cNvPr>
        <xdr:cNvSpPr txBox="1"/>
      </xdr:nvSpPr>
      <xdr:spPr>
        <a:xfrm>
          <a:off x="7445375" y="3016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114301</xdr:colOff>
      <xdr:row>6</xdr:row>
      <xdr:rowOff>75858</xdr:rowOff>
    </xdr:from>
    <xdr:to>
      <xdr:col>7</xdr:col>
      <xdr:colOff>561976</xdr:colOff>
      <xdr:row>7</xdr:row>
      <xdr:rowOff>101748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B3745DD-A22D-7BBF-473B-C419297B2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1" y="1180758"/>
          <a:ext cx="2089150" cy="210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342900</xdr:colOff>
      <xdr:row>5</xdr:row>
      <xdr:rowOff>110160</xdr:rowOff>
    </xdr:from>
    <xdr:to>
      <xdr:col>13</xdr:col>
      <xdr:colOff>92505</xdr:colOff>
      <xdr:row>7</xdr:row>
      <xdr:rowOff>107949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B441497-A70E-2B95-8CAB-A8CADC076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99500" y="1043610"/>
          <a:ext cx="1426005" cy="366089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6</xdr:col>
      <xdr:colOff>514350</xdr:colOff>
      <xdr:row>18</xdr:row>
      <xdr:rowOff>57111</xdr:rowOff>
    </xdr:from>
    <xdr:to>
      <xdr:col>7</xdr:col>
      <xdr:colOff>190500</xdr:colOff>
      <xdr:row>19</xdr:row>
      <xdr:rowOff>131963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818FEEA-413B-A327-619C-A964F0BDA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02050" y="3746461"/>
          <a:ext cx="1314450" cy="265352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6</xdr:col>
      <xdr:colOff>234950</xdr:colOff>
      <xdr:row>12</xdr:row>
      <xdr:rowOff>63501</xdr:rowOff>
    </xdr:from>
    <xdr:to>
      <xdr:col>7</xdr:col>
      <xdr:colOff>483168</xdr:colOff>
      <xdr:row>13</xdr:row>
      <xdr:rowOff>101601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E5CD285-D122-0394-4267-2C08EEF3B8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9146" b="15468"/>
        <a:stretch>
          <a:fillRect/>
        </a:stretch>
      </xdr:blipFill>
      <xdr:spPr>
        <a:xfrm>
          <a:off x="3422650" y="2457451"/>
          <a:ext cx="1889693" cy="228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177800</xdr:colOff>
      <xdr:row>20</xdr:row>
      <xdr:rowOff>50467</xdr:rowOff>
    </xdr:from>
    <xdr:to>
      <xdr:col>13</xdr:col>
      <xdr:colOff>276225</xdr:colOff>
      <xdr:row>22</xdr:row>
      <xdr:rowOff>151810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E8FB7C7-0426-9ED0-7BBE-90497EEE6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12175" y="4736767"/>
          <a:ext cx="1771650" cy="475993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6</xdr:col>
      <xdr:colOff>304800</xdr:colOff>
      <xdr:row>24</xdr:row>
      <xdr:rowOff>19051</xdr:rowOff>
    </xdr:from>
    <xdr:to>
      <xdr:col>7</xdr:col>
      <xdr:colOff>352425</xdr:colOff>
      <xdr:row>25</xdr:row>
      <xdr:rowOff>121409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252CFF-E605-9D17-548F-3E01EC90A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0950" y="4559301"/>
          <a:ext cx="1689100" cy="283333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9</xdr:col>
      <xdr:colOff>88900</xdr:colOff>
      <xdr:row>8</xdr:row>
      <xdr:rowOff>101601</xdr:rowOff>
    </xdr:from>
    <xdr:to>
      <xdr:col>10</xdr:col>
      <xdr:colOff>447675</xdr:colOff>
      <xdr:row>10</xdr:row>
      <xdr:rowOff>55676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F816188-019B-C275-751B-7882F7BBE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97650" y="2908301"/>
          <a:ext cx="1949450" cy="344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9</xdr:col>
      <xdr:colOff>431800</xdr:colOff>
      <xdr:row>15</xdr:row>
      <xdr:rowOff>88900</xdr:rowOff>
    </xdr:from>
    <xdr:to>
      <xdr:col>10</xdr:col>
      <xdr:colOff>142875</xdr:colOff>
      <xdr:row>17</xdr:row>
      <xdr:rowOff>83236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5F767A3-7282-52E1-04EB-6CBE04395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45250" y="2921000"/>
          <a:ext cx="1308100" cy="372161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133351</xdr:colOff>
      <xdr:row>13</xdr:row>
      <xdr:rowOff>68317</xdr:rowOff>
    </xdr:from>
    <xdr:to>
      <xdr:col>13</xdr:col>
      <xdr:colOff>352426</xdr:colOff>
      <xdr:row>15</xdr:row>
      <xdr:rowOff>105888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8A38208-4D1D-7284-C676-76CEF351E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67726" y="3621142"/>
          <a:ext cx="1892300" cy="41539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15</xdr:col>
      <xdr:colOff>76198</xdr:colOff>
      <xdr:row>8</xdr:row>
      <xdr:rowOff>75453</xdr:rowOff>
    </xdr:from>
    <xdr:to>
      <xdr:col>16</xdr:col>
      <xdr:colOff>733425</xdr:colOff>
      <xdr:row>9</xdr:row>
      <xdr:rowOff>114715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1E5D9B0-E0E7-CCCF-B1BB-E05297CE0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772773" y="1380378"/>
          <a:ext cx="2428877" cy="229762"/>
        </a:xfrm>
        <a:prstGeom prst="rect">
          <a:avLst/>
        </a:prstGeom>
      </xdr:spPr>
    </xdr:pic>
    <xdr:clientData/>
  </xdr:twoCellAnchor>
  <xdr:twoCellAnchor editAs="oneCell">
    <xdr:from>
      <xdr:col>15</xdr:col>
      <xdr:colOff>159800</xdr:colOff>
      <xdr:row>16</xdr:row>
      <xdr:rowOff>31749</xdr:rowOff>
    </xdr:from>
    <xdr:to>
      <xdr:col>16</xdr:col>
      <xdr:colOff>615950</xdr:colOff>
      <xdr:row>17</xdr:row>
      <xdr:rowOff>160120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F515383-F3AE-280A-2BD9-D0BAC00E6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94475" y="3232149"/>
          <a:ext cx="2230975" cy="322046"/>
        </a:xfrm>
        <a:prstGeom prst="rect">
          <a:avLst/>
        </a:prstGeom>
      </xdr:spPr>
    </xdr:pic>
    <xdr:clientData/>
  </xdr:twoCellAnchor>
  <xdr:twoCellAnchor editAs="oneCell">
    <xdr:from>
      <xdr:col>15</xdr:col>
      <xdr:colOff>190499</xdr:colOff>
      <xdr:row>23</xdr:row>
      <xdr:rowOff>46089</xdr:rowOff>
    </xdr:from>
    <xdr:to>
      <xdr:col>16</xdr:col>
      <xdr:colOff>712328</xdr:colOff>
      <xdr:row>25</xdr:row>
      <xdr:rowOff>111339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4329D55-4ACC-E6DB-7D60-DFECA17AD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115674" y="4570464"/>
          <a:ext cx="2293479" cy="436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254000</xdr:colOff>
      <xdr:row>7</xdr:row>
      <xdr:rowOff>34925</xdr:rowOff>
    </xdr:from>
    <xdr:to>
      <xdr:col>6</xdr:col>
      <xdr:colOff>1905000</xdr:colOff>
      <xdr:row>9</xdr:row>
      <xdr:rowOff>163653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B933EE9-E4DB-BA94-2515-C4B9B65FA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5450" y="1320800"/>
          <a:ext cx="1651000" cy="490678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19</xdr:row>
      <xdr:rowOff>28575</xdr:rowOff>
    </xdr:from>
    <xdr:to>
      <xdr:col>7</xdr:col>
      <xdr:colOff>444500</xdr:colOff>
      <xdr:row>21</xdr:row>
      <xdr:rowOff>151615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6A74B31-2755-0C39-CE36-17D1FD7FB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1000" y="3514725"/>
          <a:ext cx="2181225" cy="48499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304801</xdr:colOff>
      <xdr:row>29</xdr:row>
      <xdr:rowOff>66826</xdr:rowOff>
    </xdr:from>
    <xdr:to>
      <xdr:col>7</xdr:col>
      <xdr:colOff>353788</xdr:colOff>
      <xdr:row>31</xdr:row>
      <xdr:rowOff>133350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A0AD025-1D1D-C71E-780A-BD99D196B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286251" y="5391301"/>
          <a:ext cx="1992087" cy="4284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4</xdr:row>
      <xdr:rowOff>76200</xdr:rowOff>
    </xdr:from>
    <xdr:to>
      <xdr:col>7</xdr:col>
      <xdr:colOff>568418</xdr:colOff>
      <xdr:row>6</xdr:row>
      <xdr:rowOff>95271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ECCBB91-6179-F1A9-49F1-A4D66CBDA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0" y="819150"/>
          <a:ext cx="1806668" cy="400071"/>
        </a:xfrm>
        <a:prstGeom prst="rect">
          <a:avLst/>
        </a:prstGeom>
      </xdr:spPr>
    </xdr:pic>
    <xdr:clientData/>
  </xdr:twoCellAnchor>
  <xdr:twoCellAnchor editAs="oneCell">
    <xdr:from>
      <xdr:col>12</xdr:col>
      <xdr:colOff>504825</xdr:colOff>
      <xdr:row>5</xdr:row>
      <xdr:rowOff>38100</xdr:rowOff>
    </xdr:from>
    <xdr:to>
      <xdr:col>12</xdr:col>
      <xdr:colOff>2200275</xdr:colOff>
      <xdr:row>6</xdr:row>
      <xdr:rowOff>158766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278AF04E-679F-B57E-552C-A437F23E0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9600" y="971550"/>
          <a:ext cx="1695450" cy="311166"/>
        </a:xfrm>
        <a:prstGeom prst="rect">
          <a:avLst/>
        </a:prstGeom>
      </xdr:spPr>
    </xdr:pic>
    <xdr:clientData/>
  </xdr:twoCellAnchor>
  <xdr:twoCellAnchor editAs="oneCell">
    <xdr:from>
      <xdr:col>12</xdr:col>
      <xdr:colOff>657225</xdr:colOff>
      <xdr:row>11</xdr:row>
      <xdr:rowOff>47625</xdr:rowOff>
    </xdr:from>
    <xdr:to>
      <xdr:col>12</xdr:col>
      <xdr:colOff>1990794</xdr:colOff>
      <xdr:row>12</xdr:row>
      <xdr:rowOff>158765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5B5DB93-1806-327F-11EA-BF4FD87A8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00" y="2114550"/>
          <a:ext cx="1333569" cy="295290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20</xdr:row>
      <xdr:rowOff>133350</xdr:rowOff>
    </xdr:from>
    <xdr:to>
      <xdr:col>13</xdr:col>
      <xdr:colOff>520839</xdr:colOff>
      <xdr:row>22</xdr:row>
      <xdr:rowOff>95267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22A4C1C-589B-16EA-396B-7476BECB2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00975" y="3895725"/>
          <a:ext cx="2702064" cy="339742"/>
        </a:xfrm>
        <a:prstGeom prst="rect">
          <a:avLst/>
        </a:prstGeom>
      </xdr:spPr>
    </xdr:pic>
    <xdr:clientData/>
  </xdr:twoCellAnchor>
  <xdr:twoCellAnchor editAs="oneCell">
    <xdr:from>
      <xdr:col>15</xdr:col>
      <xdr:colOff>247650</xdr:colOff>
      <xdr:row>5</xdr:row>
      <xdr:rowOff>53975</xdr:rowOff>
    </xdr:from>
    <xdr:to>
      <xdr:col>16</xdr:col>
      <xdr:colOff>768467</xdr:colOff>
      <xdr:row>7</xdr:row>
      <xdr:rowOff>92096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CEC4B8AD-FBCD-0359-8DA4-0BF9F7779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29950" y="987425"/>
          <a:ext cx="2276592" cy="419121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57151</xdr:colOff>
      <xdr:row>28</xdr:row>
      <xdr:rowOff>66675</xdr:rowOff>
    </xdr:from>
    <xdr:to>
      <xdr:col>13</xdr:col>
      <xdr:colOff>482601</xdr:colOff>
      <xdr:row>30</xdr:row>
      <xdr:rowOff>93067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C15C15F-2976-9F9B-B895-EB35A6840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39451" y="1000125"/>
          <a:ext cx="2686050" cy="401042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26</xdr:row>
      <xdr:rowOff>65840</xdr:rowOff>
    </xdr:from>
    <xdr:to>
      <xdr:col>16</xdr:col>
      <xdr:colOff>447764</xdr:colOff>
      <xdr:row>27</xdr:row>
      <xdr:rowOff>162774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CBD9FE3D-E25B-4C0A-24FA-63F416E37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239500" y="4961690"/>
          <a:ext cx="1743164" cy="277909"/>
        </a:xfrm>
        <a:prstGeom prst="rect">
          <a:avLst/>
        </a:prstGeom>
      </xdr:spPr>
    </xdr:pic>
    <xdr:clientData/>
  </xdr:twoCellAnchor>
  <xdr:twoCellAnchor editAs="oneCell">
    <xdr:from>
      <xdr:col>6</xdr:col>
      <xdr:colOff>30115</xdr:colOff>
      <xdr:row>13</xdr:row>
      <xdr:rowOff>146049</xdr:rowOff>
    </xdr:from>
    <xdr:to>
      <xdr:col>7</xdr:col>
      <xdr:colOff>598924</xdr:colOff>
      <xdr:row>15</xdr:row>
      <xdr:rowOff>76199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B82E281-08FC-510B-3406-5B7D758D6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63890" y="2593974"/>
          <a:ext cx="1876909" cy="301625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22</xdr:row>
      <xdr:rowOff>133353</xdr:rowOff>
    </xdr:from>
    <xdr:to>
      <xdr:col>7</xdr:col>
      <xdr:colOff>568325</xdr:colOff>
      <xdr:row>24</xdr:row>
      <xdr:rowOff>16203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1076527D-08F0-3269-AD0A-C7C61804F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81400" y="4276728"/>
          <a:ext cx="1825625" cy="26385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6</xdr:row>
      <xdr:rowOff>95120</xdr:rowOff>
    </xdr:from>
    <xdr:to>
      <xdr:col>10</xdr:col>
      <xdr:colOff>333318</xdr:colOff>
      <xdr:row>9</xdr:row>
      <xdr:rowOff>85724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C760E5B3-DD65-4DE4-0470-F473BBCE2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15000" y="1219070"/>
          <a:ext cx="1679518" cy="565279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16</xdr:row>
      <xdr:rowOff>119570</xdr:rowOff>
    </xdr:from>
    <xdr:to>
      <xdr:col>10</xdr:col>
      <xdr:colOff>409431</xdr:colOff>
      <xdr:row>19</xdr:row>
      <xdr:rowOff>115379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A86C0D96-21EF-D6B8-BB72-50F6BE7C7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53100" y="3129470"/>
          <a:ext cx="1714356" cy="548259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26</xdr:row>
      <xdr:rowOff>57588</xdr:rowOff>
    </xdr:from>
    <xdr:to>
      <xdr:col>10</xdr:col>
      <xdr:colOff>390988</xdr:colOff>
      <xdr:row>29</xdr:row>
      <xdr:rowOff>181166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A9FF68AC-D743-ED87-E3F8-517A1ED41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19775" y="4953438"/>
          <a:ext cx="1626063" cy="676028"/>
        </a:xfrm>
        <a:prstGeom prst="rect">
          <a:avLst/>
        </a:prstGeom>
      </xdr:spPr>
    </xdr:pic>
    <xdr:clientData/>
  </xdr:twoCellAnchor>
  <xdr:twoCellAnchor editAs="oneCell">
    <xdr:from>
      <xdr:col>15</xdr:col>
      <xdr:colOff>173188</xdr:colOff>
      <xdr:row>13</xdr:row>
      <xdr:rowOff>100392</xdr:rowOff>
    </xdr:from>
    <xdr:to>
      <xdr:col>16</xdr:col>
      <xdr:colOff>770546</xdr:colOff>
      <xdr:row>15</xdr:row>
      <xdr:rowOff>112331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3027E104-8EDF-7CFE-8639-599EB32EE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050738" y="2548317"/>
          <a:ext cx="2349958" cy="383414"/>
        </a:xfrm>
        <a:prstGeom prst="rect">
          <a:avLst/>
        </a:prstGeom>
      </xdr:spPr>
    </xdr:pic>
    <xdr:clientData/>
  </xdr:twoCellAnchor>
  <xdr:twoCellAnchor editAs="oneCell">
    <xdr:from>
      <xdr:col>15</xdr:col>
      <xdr:colOff>514350</xdr:colOff>
      <xdr:row>20</xdr:row>
      <xdr:rowOff>50782</xdr:rowOff>
    </xdr:from>
    <xdr:to>
      <xdr:col>16</xdr:col>
      <xdr:colOff>467185</xdr:colOff>
      <xdr:row>21</xdr:row>
      <xdr:rowOff>111193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C2FB7DC0-F979-958A-705C-4E0E5061A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296650" y="3803632"/>
          <a:ext cx="1705435" cy="2509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266700</xdr:colOff>
      <xdr:row>4</xdr:row>
      <xdr:rowOff>31751</xdr:rowOff>
    </xdr:from>
    <xdr:to>
      <xdr:col>7</xdr:col>
      <xdr:colOff>247650</xdr:colOff>
      <xdr:row>5</xdr:row>
      <xdr:rowOff>174361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3DC816-2003-8729-C189-D11217FDC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0850" y="781051"/>
          <a:ext cx="1784350" cy="326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6</xdr:col>
      <xdr:colOff>254000</xdr:colOff>
      <xdr:row>16</xdr:row>
      <xdr:rowOff>50801</xdr:rowOff>
    </xdr:from>
    <xdr:to>
      <xdr:col>7</xdr:col>
      <xdr:colOff>275589</xdr:colOff>
      <xdr:row>17</xdr:row>
      <xdr:rowOff>123826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6AA814-D815-5F5D-B0AA-1EA4AD409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48150" y="3429001"/>
          <a:ext cx="1831339" cy="26352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6</xdr:col>
      <xdr:colOff>50801</xdr:colOff>
      <xdr:row>10</xdr:row>
      <xdr:rowOff>44451</xdr:rowOff>
    </xdr:from>
    <xdr:to>
      <xdr:col>7</xdr:col>
      <xdr:colOff>425451</xdr:colOff>
      <xdr:row>11</xdr:row>
      <xdr:rowOff>172779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C4ECB8-93E7-8DA5-8701-65CFEA441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44951" y="2114551"/>
          <a:ext cx="2184400" cy="312478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6</xdr:col>
      <xdr:colOff>82551</xdr:colOff>
      <xdr:row>22</xdr:row>
      <xdr:rowOff>47142</xdr:rowOff>
    </xdr:from>
    <xdr:to>
      <xdr:col>7</xdr:col>
      <xdr:colOff>387350</xdr:colOff>
      <xdr:row>23</xdr:row>
      <xdr:rowOff>131043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C11646-D35F-35B9-B171-192D85936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6701" y="4746142"/>
          <a:ext cx="2114549" cy="268051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9</xdr:col>
      <xdr:colOff>63501</xdr:colOff>
      <xdr:row>14</xdr:row>
      <xdr:rowOff>133350</xdr:rowOff>
    </xdr:from>
    <xdr:to>
      <xdr:col>10</xdr:col>
      <xdr:colOff>390525</xdr:colOff>
      <xdr:row>16</xdr:row>
      <xdr:rowOff>94355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DAE165E-CBDA-4D7E-856D-EACD1A3B0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7701" y="2940050"/>
          <a:ext cx="2038349" cy="33883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9</xdr:col>
      <xdr:colOff>123825</xdr:colOff>
      <xdr:row>22</xdr:row>
      <xdr:rowOff>114301</xdr:rowOff>
    </xdr:from>
    <xdr:to>
      <xdr:col>10</xdr:col>
      <xdr:colOff>342900</xdr:colOff>
      <xdr:row>24</xdr:row>
      <xdr:rowOff>58127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C7F5AF4-992A-794F-6ECE-1A1C07A1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10350" y="4419601"/>
          <a:ext cx="1933575" cy="315301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9</xdr:col>
      <xdr:colOff>118563</xdr:colOff>
      <xdr:row>6</xdr:row>
      <xdr:rowOff>92076</xdr:rowOff>
    </xdr:from>
    <xdr:to>
      <xdr:col>10</xdr:col>
      <xdr:colOff>381000</xdr:colOff>
      <xdr:row>8</xdr:row>
      <xdr:rowOff>112669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CF6D8E9-2FB6-F62A-7178-55999EDEA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52763" y="1216026"/>
          <a:ext cx="1967412" cy="395243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115029</xdr:colOff>
      <xdr:row>17</xdr:row>
      <xdr:rowOff>92075</xdr:rowOff>
    </xdr:from>
    <xdr:to>
      <xdr:col>3</xdr:col>
      <xdr:colOff>1063625</xdr:colOff>
      <xdr:row>22</xdr:row>
      <xdr:rowOff>106879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5E60E80-1284-C9A0-CE17-F2E33EC44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2704" y="3273425"/>
          <a:ext cx="2834546" cy="948254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234950</xdr:colOff>
      <xdr:row>6</xdr:row>
      <xdr:rowOff>73026</xdr:rowOff>
    </xdr:from>
    <xdr:to>
      <xdr:col>7</xdr:col>
      <xdr:colOff>393141</xdr:colOff>
      <xdr:row>8</xdr:row>
      <xdr:rowOff>96445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DA33B1-0D97-AC64-D93A-E51428C77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25850" y="1177926"/>
          <a:ext cx="1485900" cy="404419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557556</xdr:colOff>
      <xdr:row>4</xdr:row>
      <xdr:rowOff>80494</xdr:rowOff>
    </xdr:from>
    <xdr:to>
      <xdr:col>13</xdr:col>
      <xdr:colOff>183153</xdr:colOff>
      <xdr:row>6</xdr:row>
      <xdr:rowOff>114665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083CBA-20F8-43C7-8BDE-13C69407A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410203" y="842494"/>
          <a:ext cx="1149597" cy="422642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6</xdr:col>
      <xdr:colOff>409576</xdr:colOff>
      <xdr:row>14</xdr:row>
      <xdr:rowOff>57150</xdr:rowOff>
    </xdr:from>
    <xdr:to>
      <xdr:col>7</xdr:col>
      <xdr:colOff>275667</xdr:colOff>
      <xdr:row>16</xdr:row>
      <xdr:rowOff>117081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DDE385-F4A4-AC75-FE1B-C6A0052703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9748" b="1"/>
        <a:stretch>
          <a:fillRect/>
        </a:stretch>
      </xdr:blipFill>
      <xdr:spPr>
        <a:xfrm>
          <a:off x="3800476" y="2686050"/>
          <a:ext cx="1209675" cy="437757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9</xdr:col>
      <xdr:colOff>93797</xdr:colOff>
      <xdr:row>25</xdr:row>
      <xdr:rowOff>130175</xdr:rowOff>
    </xdr:from>
    <xdr:to>
      <xdr:col>10</xdr:col>
      <xdr:colOff>390525</xdr:colOff>
      <xdr:row>27</xdr:row>
      <xdr:rowOff>85842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1B9AB47-D31E-AF22-C92F-BB7151CE3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848" b="5848"/>
        <a:stretch/>
      </xdr:blipFill>
      <xdr:spPr>
        <a:xfrm>
          <a:off x="6723197" y="4835525"/>
          <a:ext cx="1779453" cy="314442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6</xdr:col>
      <xdr:colOff>161925</xdr:colOff>
      <xdr:row>24</xdr:row>
      <xdr:rowOff>73026</xdr:rowOff>
    </xdr:from>
    <xdr:to>
      <xdr:col>7</xdr:col>
      <xdr:colOff>488391</xdr:colOff>
      <xdr:row>28</xdr:row>
      <xdr:rowOff>50683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724CCB9-168D-71B7-B9FD-7F51A524D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52825" y="4740276"/>
          <a:ext cx="1657350" cy="717432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9</xdr:col>
      <xdr:colOff>352425</xdr:colOff>
      <xdr:row>14</xdr:row>
      <xdr:rowOff>123825</xdr:rowOff>
    </xdr:from>
    <xdr:to>
      <xdr:col>10</xdr:col>
      <xdr:colOff>120650</xdr:colOff>
      <xdr:row>18</xdr:row>
      <xdr:rowOff>47092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28114E6-1AAA-1FC8-2A79-4565F29FE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29325" y="2752725"/>
          <a:ext cx="1257300" cy="688443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9</xdr:col>
      <xdr:colOff>349700</xdr:colOff>
      <xdr:row>5</xdr:row>
      <xdr:rowOff>85726</xdr:rowOff>
    </xdr:from>
    <xdr:to>
      <xdr:col>10</xdr:col>
      <xdr:colOff>104775</xdr:colOff>
      <xdr:row>7</xdr:row>
      <xdr:rowOff>56365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4A35B25-6436-F8F1-B7B7-C5F8765A4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026600" y="1019176"/>
          <a:ext cx="1237800" cy="351639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217954</xdr:colOff>
      <xdr:row>26</xdr:row>
      <xdr:rowOff>72440</xdr:rowOff>
    </xdr:from>
    <xdr:to>
      <xdr:col>3</xdr:col>
      <xdr:colOff>1288876</xdr:colOff>
      <xdr:row>31</xdr:row>
      <xdr:rowOff>85538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34C686B-C0E1-442A-9C20-3AF8A396A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7395" y="4958205"/>
          <a:ext cx="3073600" cy="940011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231589</xdr:colOff>
      <xdr:row>32</xdr:row>
      <xdr:rowOff>0</xdr:rowOff>
    </xdr:from>
    <xdr:to>
      <xdr:col>3</xdr:col>
      <xdr:colOff>1134698</xdr:colOff>
      <xdr:row>36</xdr:row>
      <xdr:rowOff>94549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A9EFB69-59AD-4E83-B98B-6EF46B0A30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5352" b="1"/>
        <a:stretch>
          <a:fillRect/>
        </a:stretch>
      </xdr:blipFill>
      <xdr:spPr>
        <a:xfrm>
          <a:off x="691030" y="5995147"/>
          <a:ext cx="2912137" cy="822931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15</xdr:col>
      <xdr:colOff>612590</xdr:colOff>
      <xdr:row>5</xdr:row>
      <xdr:rowOff>20598</xdr:rowOff>
    </xdr:from>
    <xdr:to>
      <xdr:col>16</xdr:col>
      <xdr:colOff>866590</xdr:colOff>
      <xdr:row>6</xdr:row>
      <xdr:rowOff>159369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C420113-0245-A4C0-3C4A-E70FDBA0F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900649" y="976833"/>
          <a:ext cx="2024529" cy="333007"/>
        </a:xfrm>
        <a:prstGeom prst="rect">
          <a:avLst/>
        </a:prstGeom>
      </xdr:spPr>
    </xdr:pic>
    <xdr:clientData/>
  </xdr:twoCellAnchor>
  <xdr:twoCellAnchor editAs="oneCell">
    <xdr:from>
      <xdr:col>12</xdr:col>
      <xdr:colOff>22413</xdr:colOff>
      <xdr:row>7</xdr:row>
      <xdr:rowOff>154414</xdr:rowOff>
    </xdr:from>
    <xdr:to>
      <xdr:col>13</xdr:col>
      <xdr:colOff>669881</xdr:colOff>
      <xdr:row>9</xdr:row>
      <xdr:rowOff>88527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77B936C2-E72E-F02C-FC85-B18005C28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875060" y="1499120"/>
          <a:ext cx="2171468" cy="316233"/>
        </a:xfrm>
        <a:prstGeom prst="rect">
          <a:avLst/>
        </a:prstGeom>
      </xdr:spPr>
    </xdr:pic>
    <xdr:clientData/>
  </xdr:twoCellAnchor>
  <xdr:twoCellAnchor editAs="oneCell">
    <xdr:from>
      <xdr:col>12</xdr:col>
      <xdr:colOff>82179</xdr:colOff>
      <xdr:row>15</xdr:row>
      <xdr:rowOff>89644</xdr:rowOff>
    </xdr:from>
    <xdr:to>
      <xdr:col>13</xdr:col>
      <xdr:colOff>616376</xdr:colOff>
      <xdr:row>17</xdr:row>
      <xdr:rowOff>83297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10D774B-CA52-3952-56E9-EF3E13A65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934826" y="2973291"/>
          <a:ext cx="2064547" cy="388473"/>
        </a:xfrm>
        <a:prstGeom prst="rect">
          <a:avLst/>
        </a:prstGeom>
      </xdr:spPr>
    </xdr:pic>
    <xdr:clientData/>
  </xdr:twoCellAnchor>
  <xdr:twoCellAnchor editAs="oneCell">
    <xdr:from>
      <xdr:col>12</xdr:col>
      <xdr:colOff>95862</xdr:colOff>
      <xdr:row>30</xdr:row>
      <xdr:rowOff>119693</xdr:rowOff>
    </xdr:from>
    <xdr:to>
      <xdr:col>13</xdr:col>
      <xdr:colOff>620059</xdr:colOff>
      <xdr:row>32</xdr:row>
      <xdr:rowOff>97437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6952548-778B-471C-3180-654D08D2A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11156" y="6648987"/>
          <a:ext cx="2048197" cy="351273"/>
        </a:xfrm>
        <a:prstGeom prst="rect">
          <a:avLst/>
        </a:prstGeom>
      </xdr:spPr>
    </xdr:pic>
    <xdr:clientData/>
  </xdr:twoCellAnchor>
  <xdr:twoCellAnchor editAs="oneCell">
    <xdr:from>
      <xdr:col>12</xdr:col>
      <xdr:colOff>29884</xdr:colOff>
      <xdr:row>22</xdr:row>
      <xdr:rowOff>112060</xdr:rowOff>
    </xdr:from>
    <xdr:to>
      <xdr:col>13</xdr:col>
      <xdr:colOff>573405</xdr:colOff>
      <xdr:row>23</xdr:row>
      <xdr:rowOff>112060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4BF442F7-E3B9-CF5D-EA9B-7C7E4918F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845178" y="4340413"/>
          <a:ext cx="2067521" cy="186765"/>
        </a:xfrm>
        <a:prstGeom prst="rect">
          <a:avLst/>
        </a:prstGeom>
      </xdr:spPr>
    </xdr:pic>
    <xdr:clientData/>
  </xdr:twoCellAnchor>
  <xdr:twoCellAnchor editAs="oneCell">
    <xdr:from>
      <xdr:col>15</xdr:col>
      <xdr:colOff>478118</xdr:colOff>
      <xdr:row>13</xdr:row>
      <xdr:rowOff>68568</xdr:rowOff>
    </xdr:from>
    <xdr:to>
      <xdr:col>16</xdr:col>
      <xdr:colOff>1113119</xdr:colOff>
      <xdr:row>15</xdr:row>
      <xdr:rowOff>103835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E747AB53-E56F-2DCA-CEBB-FD383647D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766177" y="2571215"/>
          <a:ext cx="2405530" cy="42373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165100</xdr:colOff>
      <xdr:row>3</xdr:row>
      <xdr:rowOff>31750</xdr:rowOff>
    </xdr:from>
    <xdr:to>
      <xdr:col>4</xdr:col>
      <xdr:colOff>314855</xdr:colOff>
      <xdr:row>26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6B5E3-6408-4494-A089-082DC1E9A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00" y="584200"/>
          <a:ext cx="3756555" cy="4241800"/>
        </a:xfrm>
        <a:prstGeom prst="rect">
          <a:avLst/>
        </a:prstGeom>
      </xdr:spPr>
    </xdr:pic>
    <xdr:clientData/>
  </xdr:twoCellAnchor>
  <xdr:twoCellAnchor editAs="oneCell">
    <xdr:from>
      <xdr:col>0</xdr:col>
      <xdr:colOff>184150</xdr:colOff>
      <xdr:row>3</xdr:row>
      <xdr:rowOff>19050</xdr:rowOff>
    </xdr:from>
    <xdr:to>
      <xdr:col>4</xdr:col>
      <xdr:colOff>333905</xdr:colOff>
      <xdr:row>26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4FB543-8843-457C-3642-69FCA5E5E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150" y="571500"/>
          <a:ext cx="3756555" cy="4241800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4</xdr:col>
      <xdr:colOff>434534</xdr:colOff>
      <xdr:row>3</xdr:row>
      <xdr:rowOff>24164</xdr:rowOff>
    </xdr:from>
    <xdr:to>
      <xdr:col>8</xdr:col>
      <xdr:colOff>589808</xdr:colOff>
      <xdr:row>15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0B3303-E1EA-20A4-564E-EA9B1C080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41334" y="576614"/>
          <a:ext cx="4524074" cy="2242786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3A51FEF-4642-4801-A998-5B5D5B7E25A4}" name="CAL_Vsense" displayName="CAL_Vsense" ref="B41:H42" totalsRowShown="0" headerRowDxfId="35" dataDxfId="34" tableBorderDxfId="33">
  <autoFilter ref="B41:H42" xr:uid="{E3A51FEF-4642-4801-A998-5B5D5B7E25A4}"/>
  <tableColumns count="7">
    <tableColumn id="1" xr3:uid="{72CE8DA8-6563-4322-AABC-36ACF43055CB}" name="Rbot (Ω)" dataDxfId="32">
      <calculatedColumnFormula>HMI!U17</calculatedColumnFormula>
    </tableColumn>
    <tableColumn id="2" xr3:uid="{24747B59-61B7-4C72-90DC-263488210056}" name="Rbot/Rtop" dataDxfId="31"/>
    <tableColumn id="3" xr3:uid="{DDE3289D-88E0-4C7D-87FD-D3D69E79F10D}" name="Rtop (Ω)" dataDxfId="30">
      <calculatedColumnFormula>HMI!U18</calculatedColumnFormula>
    </tableColumn>
    <tableColumn id="4" xr3:uid="{6958CE2B-2C13-409D-93AE-44178BFFDA66}" name="Rth (Ω)" dataDxfId="29">
      <calculatedColumnFormula>CAL_Vsense[[#This Row],[Rtop (Ω)]]*CAL_Vsense[[#This Row],[Rbot (Ω)]]/(CAL_Vsense[[#This Row],[Rbot (Ω)]]+CAL_Vsense[[#This Row],[Rtop (Ω)]])+Radc</calculatedColumnFormula>
    </tableColumn>
    <tableColumn id="5" xr3:uid="{11134CB2-C2E0-49B7-9A9A-CCA3E473CAA8}" name="Iadc (mA)" dataDxfId="28">
      <calculatedColumnFormula array="1">DB_ADC[Vref,adc (V)]/CAL_Vsense[[#This Row],[Rth (Ω)]]*1000</calculatedColumnFormula>
    </tableColumn>
    <tableColumn id="6" xr3:uid="{C0D5F77C-6884-4436-8011-5E3C9BAF9068}" name="R_CinToAdc (Ω)" dataDxfId="27">
      <calculatedColumnFormula array="1">HMI!U21*#REF!/1000</calculatedColumnFormula>
    </tableColumn>
    <tableColumn id="7" xr3:uid="{33243AAC-B51F-4185-98EF-90101F594D74}" name="S*RCint (ps)" dataDxfId="26">
      <calculatedColumnFormula>HMI!U22*CAL_Vsense[[#This Row],[R_CinToAdc (Ω)]]*HMI!U21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1DD96E-7100-4CD1-9FCC-4539084BC6B8}" name="Table8" displayName="Table8" ref="B3:G14" totalsRowShown="0" headerRowDxfId="25" dataDxfId="23" headerRowBorderDxfId="24" tableBorderDxfId="22" totalsRowBorderDxfId="21">
  <autoFilter ref="B3:G14" xr:uid="{E81DD96E-7100-4CD1-9FCC-4539084BC6B8}"/>
  <tableColumns count="6">
    <tableColumn id="1" xr3:uid="{11F74BC1-EDA3-4B09-9543-C91ACD28F6D6}" name="Rshunt (µOhm)" dataDxfId="20">
      <calculatedColumnFormula>B3+100</calculatedColumnFormula>
    </tableColumn>
    <tableColumn id="2" xr3:uid="{F22209D4-D5F7-4A24-A22E-BCB1F60E1A02}" name="Disspated power (W)" dataDxfId="19">
      <calculatedColumnFormula>B4*$J$5*$J$5/1000/1000*$J$3/100</calculatedColumnFormula>
    </tableColumn>
    <tableColumn id="3" xr3:uid="{D529F738-8D82-4F6B-AFA8-BE5DBAB5E958}" name="Voltage drop spike amp (V)" dataDxfId="18">
      <calculatedColumnFormula>$J$6*B4/1000*$J$12/1000</calculatedColumnFormula>
    </tableColumn>
    <tableColumn id="4" xr3:uid="{DA16F6C7-9239-4007-9C54-6D51F73E46DA}" name="Voltage drop max amp (V)" dataDxfId="17">
      <calculatedColumnFormula>$J$5*B4/1000*$J$12/1000</calculatedColumnFormula>
    </tableColumn>
    <tableColumn id="6" xr3:uid="{B27B3633-2D8E-48A1-A695-660FCB0A39C1}" name="Voltage drop typ amp (V)2" dataDxfId="16">
      <calculatedColumnFormula>$J$4*B4/1000*$J$12/1000</calculatedColumnFormula>
    </tableColumn>
    <tableColumn id="5" xr3:uid="{F4370240-49C3-4C3D-A378-B3808740E62D}" name="mA/step" dataDxfId="15">
      <calculatedColumnFormula>$J$6/(D4/1000*$J$10/$J$8)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79270D-7167-4A91-9272-B7E98D98AAFF}" name="DB_limits" displayName="DB_limits" ref="A1:X7" totalsRowShown="0">
  <autoFilter ref="A1:X7" xr:uid="{1879270D-7167-4A91-9272-B7E98D98AAFF}"/>
  <tableColumns count="24">
    <tableColumn id="1" xr3:uid="{B4422181-E614-40D0-A64D-7B1763D76B50}" name="Name"/>
    <tableColumn id="2" xr3:uid="{2E74BA3B-503E-4F84-9D2A-DC73F1C08DCE}" name="Frame size (&quot;)"/>
    <tableColumn id="3" xr3:uid="{A82EBA80-E175-4B71-9E44-29675FB8BB1D}" name="Dmax (%)"/>
    <tableColumn id="4" xr3:uid="{8032F332-0D5F-43B9-A99E-DFD0D0BDBE16}" name="Fmax (kHz)"/>
    <tableColumn id="5" xr3:uid="{87C968FC-BA64-4831-8CF3-FC8D602F365C}" name="Fmin (kHz)"/>
    <tableColumn id="6" xr3:uid="{8F55B8AB-DC3E-49D2-B4EF-97CF3A06A5E4}" name="Batt max (S)"/>
    <tableColumn id="7" xr3:uid="{27F7A226-A952-4E8E-91DD-64D2A29265DF}" name="Batt min (S)"/>
    <tableColumn id="8" xr3:uid="{4335B94F-D32A-47F7-BE57-7F8ECD019DEC}" name="Cell max (V)"/>
    <tableColumn id="9" xr3:uid="{4E5EBA7C-2C00-4BBE-9EC3-87D5A91A95C0}" name="Cell typ (V)"/>
    <tableColumn id="10" xr3:uid="{6F8437E8-9410-4132-A985-595C3A5D9DC7}" name="Cell min (V)"/>
    <tableColumn id="11" xr3:uid="{B56D3F61-F357-4295-9DDC-CEBAEC29120A}" name="Vbat,typ (V)">
      <calculatedColumnFormula>H2*F2</calculatedColumnFormula>
    </tableColumn>
    <tableColumn id="12" xr3:uid="{633A4DEC-22E5-4807-951C-7FF8125F82E8}" name="Vbat,min (V)">
      <calculatedColumnFormula>J2*G2</calculatedColumnFormula>
    </tableColumn>
    <tableColumn id="23" xr3:uid="{29788897-CB42-4E9A-A552-359EC992D184}" name="Vbat spike (V) @ run"/>
    <tableColumn id="22" xr3:uid="{1CD150F5-8529-4C25-92FE-7DDCD302D6A1}" name="Vph spike (V) @ run"/>
    <tableColumn id="13" xr3:uid="{4FF933C2-A7D5-4E16-BC67-C4D219FA2202}" name="Vbat spike (V) @ disarm"/>
    <tableColumn id="14" xr3:uid="{FCE6FF8F-210D-480B-9391-8E76D52EFF30}" name="Vph spike (V) @ disarm"/>
    <tableColumn id="17" xr3:uid="{8828BB6B-7ABC-4BA6-9E1B-5C5BE5105F08}" name="Iph typ (A)"/>
    <tableColumn id="18" xr3:uid="{1F68324A-F399-4C91-BE2D-EFEF49ED6790}" name="ToF Iph typ (%)"/>
    <tableColumn id="15" xr3:uid="{5ED528D3-58D8-4741-86F9-6B25ECFBAFAE}" name="Iph max (A@Xs)"/>
    <tableColumn id="19" xr3:uid="{305A20A8-F4F6-4F6B-BAC2-2A71E7628C5B}" name="ToF Iph max (%)" dataDxfId="14">
      <calculatedColumnFormula>100-DB_limits[[#This Row],[ToF Iph typ (%)]]-DB_limits[[#This Row],[ToF Iph spike (%)]]</calculatedColumnFormula>
    </tableColumn>
    <tableColumn id="16" xr3:uid="{4D711E23-0E80-41C8-A566-2B43E0C79E4C}" name="Iph spike (A@Xms)"/>
    <tableColumn id="20" xr3:uid="{0DE3AE78-D822-41D8-B4E1-38C2CE21BE19}" name="ToF Iph spike (%)"/>
    <tableColumn id="21" xr3:uid="{0DD4A4A7-CFA4-4B62-89A9-A58896065868}" name="Iph mean (A)" dataDxfId="13">
      <calculatedColumnFormula>DB_limits[[#This Row],[Iph typ (A)]]*DB_limits[[#This Row],[ToF Iph typ (%)]]%+DB_limits[[#This Row],[Iph max (A@Xs)]]*DB_limits[[#This Row],[ToF Iph max (%)]]%+DB_limits[[#This Row],[Iph spike (A@Xms)]]*DB_limits[[#This Row],[ToF Iph spike (%)]]%</calculatedColumnFormula>
    </tableColumn>
    <tableColumn id="24" xr3:uid="{47619F70-8E0D-4CA7-A6D9-A367CF759D25}" name="Termisto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34BD57B-6D35-4BF3-9428-507881775801}" name="DB_GD" displayName="DB_GD" ref="A1:L2" totalsRowShown="0">
  <autoFilter ref="A1:L2" xr:uid="{A34BD57B-6D35-4BF3-9428-507881775801}"/>
  <tableColumns count="12">
    <tableColumn id="1" xr3:uid="{5EC18DCB-057E-40A4-B8FE-A2BDD4F9A074}" name="Part"/>
    <tableColumn id="2" xr3:uid="{5A1125D7-7B8C-416A-BE3D-F7D2E7BCDEBB}" name="Vhbr (V)"/>
    <tableColumn id="3" xr3:uid="{148F96F7-B000-493C-93E9-407B2216AD3C}" name="Vhbh,max (V)"/>
    <tableColumn id="4" xr3:uid="{C96FC6B9-1F0A-4673-9AC2-870910302E96}" name="Rboot,int (Ω)"/>
    <tableColumn id="5" xr3:uid="{85B22249-EB61-47EC-A431-5A73B67F0648}" name="Ihb (mA)"/>
    <tableColumn id="6" xr3:uid="{3B29F630-DA92-48B2-BC86-51CB0413050D}" name="Ihbs (mA)"/>
    <tableColumn id="7" xr3:uid="{F5BBF8CD-A00B-4CC4-93EA-5CD4C3FB9A2D}" name="Vout (V)"/>
    <tableColumn id="8" xr3:uid="{B2C92C99-E84C-4E87-AC27-98C5345E42F1}" name="Rpu,hs (Ω)"/>
    <tableColumn id="9" xr3:uid="{CB007C9A-93E6-47D4-9AA6-6314055D5F08}" name="Rpu,ls (Ω)"/>
    <tableColumn id="10" xr3:uid="{B1EAD3E1-F8F8-4E9B-B7A1-5E34CE7A7E94}" name="Rpd,hs (Ω)"/>
    <tableColumn id="11" xr3:uid="{96995BDE-55D7-4F20-A6F0-2A6835E6C8D2}" name="Rpd,ls (Ω)"/>
    <tableColumn id="12" xr3:uid="{BB1E9588-2ED7-4B2A-9625-4B0402C2E57A}" name="Vfint,100mA (V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D060DC-1A0E-4C6B-B8ED-355A99E0726F}" name="DB_R" displayName="DB_R" ref="A1:H97" totalsRowShown="0">
  <autoFilter ref="A1:H97" xr:uid="{63D060DC-1A0E-4C6B-B8ED-355A99E0726F}"/>
  <tableColumns count="8">
    <tableColumn id="1" xr3:uid="{DBB93FE2-51C5-454A-AC99-D8757287ABB9}" name="Description" dataDxfId="12">
      <calculatedColumnFormula>IF(B2&gt;=1000,C2&amp; "kΩ, ",B2&amp; "Ω, ")  &amp; DB_R[[#This Row],[Package (m)]]</calculatedColumnFormula>
    </tableColumn>
    <tableColumn id="2" xr3:uid="{AF373A17-D484-41B5-BED8-19D683DD5125}" name="R (Ω)"/>
    <tableColumn id="8" xr3:uid="{E1D5325B-C0E2-4318-8B8F-5A97FC83BDE8}" name="R (kΩ)" dataDxfId="11">
      <calculatedColumnFormula>DB_R[[#This Row],[R (Ω)]]/1000</calculatedColumnFormula>
    </tableColumn>
    <tableColumn id="3" xr3:uid="{1869FA9B-CD3D-4490-9D7D-AF79F51E8B42}" name="Prated@70°C (W)"/>
    <tableColumn id="4" xr3:uid="{FFB77188-A967-4E66-B819-72B42AD6014E}" name="Package (inch)" dataDxfId="10"/>
    <tableColumn id="5" xr3:uid="{E4155B5D-359A-41BB-92C6-28261E84BA95}" name="Package (m)" dataDxfId="9"/>
    <tableColumn id="6" xr3:uid="{36F66B56-514C-403F-A857-E620F0D85ADB}" name="Name"/>
    <tableColumn id="7" xr3:uid="{C45470D4-A248-41F0-8FEA-BCC9DDBB36BB}" name="Basic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453856-DA2E-4441-BB62-2DCA129951B5}" name="DB_diode" displayName="DB_diode" ref="A1:B2" totalsRowShown="0">
  <autoFilter ref="A1:B2" xr:uid="{CB453856-DA2E-4441-BB62-2DCA129951B5}"/>
  <tableColumns count="2">
    <tableColumn id="1" xr3:uid="{98771A35-906A-4FE1-9070-81FA4EAD368A}" name="Ref"/>
    <tableColumn id="2" xr3:uid="{A71713CA-FDE8-4C8F-830D-DDECF6BD4C10}" name="Vf@100mA (V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33B545B-C473-4B40-ADA6-D1F6CDF06A9D}" name="DB_Mostfet" displayName="DB_Mostfet" ref="A1:T9" totalsRowShown="0">
  <autoFilter ref="A1:T9" xr:uid="{433B545B-C473-4B40-ADA6-D1F6CDF06A9D}"/>
  <tableColumns count="20">
    <tableColumn id="1" xr3:uid="{684B9A65-FB83-4A59-B965-009671CFF340}" name="Part"/>
    <tableColumn id="2" xr3:uid="{A28ABCF8-15D9-4384-8566-09AA6702FC54}" name="Manifacturer"/>
    <tableColumn id="10" xr3:uid="{7A5152DA-CE78-4023-87B5-940B57692110}" name="Vds (V)"/>
    <tableColumn id="4" xr3:uid="{B1D4BF4A-B7FD-437D-9BF1-76FB08F5A0BC}" name="Rds,on@10V typ(mΩ)"/>
    <tableColumn id="5" xr3:uid="{9E36CA0A-030E-45D6-80B5-44EACE4CF9C1}" name="Rds,on@10V max (mΩ)"/>
    <tableColumn id="3" xr3:uid="{B36DB100-BC6C-4604-AFA9-893484874261}" name="Qg,typ @ 10V (nC)"/>
    <tableColumn id="18" xr3:uid="{AE11D89E-7D09-439D-A957-B257CDAE4013}" name="Qg,max @ 10V (nC)"/>
    <tableColumn id="19" xr3:uid="{55C0F480-C3C0-4174-A4E9-9924DC4E5206}" name="Qg,typ,sync @ 10V (nC)" dataDxfId="8"/>
    <tableColumn id="11" xr3:uid="{EFF1EF6B-1B94-4403-96A6-8F379D253341}" name="Id @ Tc=25°C (A)"/>
    <tableColumn id="12" xr3:uid="{2CF664C6-5A37-4198-A82C-CB83562A34CE}" name="Id @ Tc&gt;70°C (A)"/>
    <tableColumn id="15" xr3:uid="{5F19FBAC-6ADA-4394-8342-979B1F1DEDE7}" name="Id @ Ta=25°C (A)" dataDxfId="7"/>
    <tableColumn id="14" xr3:uid="{6F591E39-1B6D-4062-9BE0-8B0277C5FCF7}" name="Id @ Ta&gt;70°C (A)" dataDxfId="6"/>
    <tableColumn id="13" xr3:uid="{C7A711FC-0D57-4B8A-BB26-68DC361E005C}" name="Id,pulsed (A)"/>
    <tableColumn id="6" xr3:uid="{444A3D52-40D0-416F-A1B0-B9B0EB9CB918}" name="Rise time (ns)"/>
    <tableColumn id="7" xr3:uid="{0FF757B6-A521-4328-92D2-DC9B4DD9039B}" name="Fall time (ns)"/>
    <tableColumn id="16" xr3:uid="{2E1FBA14-5659-492A-80AD-51C31D984E27}" name="Size (mm)"/>
    <tableColumn id="9" xr3:uid="{67E42100-EDDE-4B90-ACF6-7913348AD8B9}" name="Vmiller (V)"/>
    <tableColumn id="20" xr3:uid="{A557E265-3008-4D7A-97D8-EA507D5B4359}" name="Qgd,typ (nC)"/>
    <tableColumn id="17" xr3:uid="{24E0631F-9F51-42CD-84B8-F2C7A7FAA302}" name="Rg,int,max (Ω)"/>
    <tableColumn id="8" xr3:uid="{DB1338F5-CAB0-4291-917A-5953A13AC6B1}" name="JLCPBC stoc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445913-5DB2-487E-9CF8-D462B6CF82FE}" name="DB_ADC" displayName="DB_ADC" ref="A1:H2" totalsRowShown="0">
  <autoFilter ref="A1:H2" xr:uid="{4D445913-5DB2-487E-9CF8-D462B6CF82FE}"/>
  <tableColumns count="8">
    <tableColumn id="1" xr3:uid="{0177AD76-5BE5-4F85-96A2-400D3F5E4565}" name="Name"/>
    <tableColumn id="4" xr3:uid="{2B471E9B-6758-4DEE-9999-F8CDA58ED934}" name="Vref,adc (V)"/>
    <tableColumn id="5" xr3:uid="{4A4F57B9-E128-4533-9E88-3DEB5AC39471}" name="Vmax (V)">
      <calculatedColumnFormula>DB_ADC[[#This Row],[Vref,adc (V)]]+0.3</calculatedColumnFormula>
    </tableColumn>
    <tableColumn id="6" xr3:uid="{024B3B03-8354-4E20-8FDB-FEE3DD0DAC7D}" name="Csamp (pF)"/>
    <tableColumn id="8" xr3:uid="{F84DCCD2-D0FF-4366-93FF-50FA1CA3EF44}" name="Cpad (pF)"/>
    <tableColumn id="7" xr3:uid="{71EAE56C-7786-4272-AB14-E79BB1020D87}" name="Fadc,clock(MHz)" dataDxfId="5"/>
    <tableColumn id="2" xr3:uid="{F391904B-0620-4A43-9BB6-C6F0F8B772B8}" name="Tadc,clock (ns)" dataDxfId="4">
      <calculatedColumnFormula>1/DB_ADC[[#This Row],[Fadc,clock(MHz)]]*10^3</calculatedColumnFormula>
    </tableColumn>
    <tableColumn id="3" xr3:uid="{8C0FDEEA-51B2-409A-B9CA-F54F7CAFA2AC}" name="Vin,max@vin (V)">
      <calculatedColumnFormula>DB_ADC[[#This Row],[Vref,adc (V)]]+0.3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109EF-BD1A-4741-8B63-551FCFC0A2D2}">
  <sheetPr codeName="Sheet1">
    <tabColor rgb="FFFFFF00"/>
  </sheetPr>
  <dimension ref="B1:U42"/>
  <sheetViews>
    <sheetView zoomScale="85" zoomScaleNormal="85" workbookViewId="0">
      <selection activeCell="Q16" sqref="Q16"/>
    </sheetView>
  </sheetViews>
  <sheetFormatPr defaultColWidth="10.90625" defaultRowHeight="14.5" x14ac:dyDescent="0.35"/>
  <cols>
    <col min="1" max="1" width="3.1796875" style="67" customWidth="1"/>
    <col min="2" max="2" width="28.6328125" style="67" bestFit="1" customWidth="1"/>
    <col min="3" max="3" width="16.1796875" style="67" bestFit="1" customWidth="1"/>
    <col min="4" max="4" width="3.1796875" style="67" customWidth="1"/>
    <col min="5" max="5" width="22.453125" style="67" bestFit="1" customWidth="1"/>
    <col min="6" max="6" width="7.90625" style="67" customWidth="1"/>
    <col min="7" max="7" width="3.1796875" style="67" customWidth="1"/>
    <col min="8" max="8" width="28.6328125" style="67" bestFit="1" customWidth="1"/>
    <col min="9" max="9" width="11.81640625" style="67" bestFit="1" customWidth="1"/>
    <col min="10" max="10" width="3.1796875" style="67" customWidth="1"/>
    <col min="11" max="11" width="21.90625" style="67" bestFit="1" customWidth="1"/>
    <col min="12" max="12" width="8.36328125" style="67" customWidth="1"/>
    <col min="13" max="13" width="3.1796875" style="67" customWidth="1"/>
    <col min="14" max="14" width="21.08984375" style="67" customWidth="1"/>
    <col min="15" max="15" width="13.26953125" style="67" customWidth="1"/>
    <col min="16" max="16" width="3.1796875" style="67" customWidth="1"/>
    <col min="17" max="17" width="29.08984375" style="67" customWidth="1"/>
    <col min="18" max="18" width="10.6328125" style="67" customWidth="1"/>
    <col min="19" max="16384" width="10.90625" style="67"/>
  </cols>
  <sheetData>
    <row r="1" spans="2:21" ht="15" thickBot="1" x14ac:dyDescent="0.4"/>
    <row r="2" spans="2:21" x14ac:dyDescent="0.35">
      <c r="B2" s="147" t="s">
        <v>117</v>
      </c>
      <c r="C2" s="148"/>
      <c r="E2" s="147" t="s">
        <v>145</v>
      </c>
      <c r="F2" s="148"/>
      <c r="H2" s="147" t="s">
        <v>102</v>
      </c>
      <c r="I2" s="148"/>
      <c r="K2" s="147" t="s">
        <v>226</v>
      </c>
      <c r="L2" s="148"/>
      <c r="N2" s="147" t="s">
        <v>256</v>
      </c>
      <c r="O2" s="148"/>
      <c r="Q2" s="116"/>
      <c r="R2" s="116"/>
      <c r="T2" s="150"/>
      <c r="U2" s="150"/>
    </row>
    <row r="3" spans="2:21" x14ac:dyDescent="0.35">
      <c r="B3" s="145" t="s">
        <v>201</v>
      </c>
      <c r="C3" s="146"/>
      <c r="D3" s="115"/>
      <c r="E3" s="152" t="s">
        <v>204</v>
      </c>
      <c r="F3" s="153"/>
      <c r="H3" s="145" t="s">
        <v>202</v>
      </c>
      <c r="I3" s="146"/>
      <c r="K3" s="145" t="s">
        <v>131</v>
      </c>
      <c r="L3" s="146"/>
      <c r="N3" s="145" t="s">
        <v>131</v>
      </c>
      <c r="O3" s="146"/>
      <c r="Q3" s="115"/>
      <c r="R3" s="115"/>
      <c r="T3" s="151"/>
      <c r="U3" s="151"/>
    </row>
    <row r="4" spans="2:21" ht="15" thickBot="1" x14ac:dyDescent="0.4">
      <c r="B4" s="143" t="s">
        <v>118</v>
      </c>
      <c r="C4" s="144"/>
      <c r="E4" s="145" t="s">
        <v>131</v>
      </c>
      <c r="F4" s="146"/>
      <c r="H4" s="143" t="s">
        <v>203</v>
      </c>
      <c r="I4" s="144"/>
      <c r="K4" s="120" t="s">
        <v>243</v>
      </c>
      <c r="L4" s="121">
        <v>850</v>
      </c>
      <c r="N4" s="119" t="s">
        <v>265</v>
      </c>
      <c r="O4" s="61" t="s">
        <v>297</v>
      </c>
      <c r="T4" s="149"/>
      <c r="U4" s="149"/>
    </row>
    <row r="5" spans="2:21" ht="15" thickBot="1" x14ac:dyDescent="0.4">
      <c r="B5" s="70" t="str">
        <f>DB_limits[[#Headers],[Frame size (")]]</f>
        <v>Frame size (")</v>
      </c>
      <c r="C5" s="61">
        <f>_xlfn.XLOOKUP($B$4, DB_limits[Name], DB_limits[Frame size (")])</f>
        <v>6</v>
      </c>
      <c r="E5" s="120" t="s">
        <v>97</v>
      </c>
      <c r="F5" s="121">
        <v>10.5</v>
      </c>
      <c r="H5" s="70" t="str">
        <f>DB_Mostfet[[#Headers],[Vds (V)]]</f>
        <v>Vds (V)</v>
      </c>
      <c r="I5" s="61">
        <f>_xlfn.XLOOKUP(H4, DB_Mostfet[Part], DB_Mostfet[Vds (V)])</f>
        <v>60</v>
      </c>
      <c r="N5" s="70" t="str">
        <f>DB_R[[#Headers],[Prated@70°C (W)]]</f>
        <v>Prated@70°C (W)</v>
      </c>
      <c r="O5" s="61">
        <f>_xlfn.XLOOKUP(O4, DB_R[Description], DB_R[Prated@70°C (W)])</f>
        <v>0.25</v>
      </c>
      <c r="R5" s="95"/>
      <c r="U5" s="95"/>
    </row>
    <row r="6" spans="2:21" ht="15" thickBot="1" x14ac:dyDescent="0.4">
      <c r="B6" s="70" t="str">
        <f>DB_limits[[#Headers],[Dmax (%)]]</f>
        <v>Dmax (%)</v>
      </c>
      <c r="C6" s="61">
        <f>_xlfn.XLOOKUP($B$4, DB_limits[Name], DB_limits[Dmax (%)])</f>
        <v>90</v>
      </c>
      <c r="H6" s="70" t="str">
        <f>DB_Mostfet[[#Headers],[Qg,typ @ 10V (nC)]]</f>
        <v>Qg,typ @ 10V (nC)</v>
      </c>
      <c r="I6" s="122">
        <f>_xlfn.XLOOKUP(H4, DB_Mostfet[Part], DB_Mostfet[Qg,typ @ 10V (nC)])</f>
        <v>41</v>
      </c>
      <c r="K6" s="139" t="s">
        <v>140</v>
      </c>
      <c r="L6" s="140"/>
      <c r="N6" s="119" t="s">
        <v>285</v>
      </c>
      <c r="O6" s="61" t="s">
        <v>278</v>
      </c>
      <c r="R6" s="95"/>
      <c r="U6" s="95"/>
    </row>
    <row r="7" spans="2:21" ht="15" thickBot="1" x14ac:dyDescent="0.4">
      <c r="B7" s="70" t="str">
        <f>DB_limits[[#Headers],[Fmax (kHz)]]</f>
        <v>Fmax (kHz)</v>
      </c>
      <c r="C7" s="61">
        <f>_xlfn.XLOOKUP(B4,DB_limits[Name],DB_limits[Fmax (kHz)])</f>
        <v>64</v>
      </c>
      <c r="E7" s="147" t="s">
        <v>225</v>
      </c>
      <c r="F7" s="148"/>
      <c r="H7" s="70" t="str">
        <f>DB_Mostfet[[#Headers],[Qg,typ,sync @ 10V (nC)]] &amp;  " (not used)"</f>
        <v>Qg,typ,sync @ 10V (nC) (not used)</v>
      </c>
      <c r="I7" s="61" t="str">
        <f>_xlfn.XLOOKUP(H4, DB_Mostfet[Part], DB_Mostfet[Qg,typ,sync @ 10V (nC)])</f>
        <v>X</v>
      </c>
      <c r="K7" s="141" t="s">
        <v>113</v>
      </c>
      <c r="L7" s="142"/>
      <c r="N7" s="123" t="str">
        <f>N5</f>
        <v>Prated@70°C (W)</v>
      </c>
      <c r="O7" s="121">
        <f>_xlfn.XLOOKUP(O4, DB_R[Description], DB_R[Prated@70°C (W)])</f>
        <v>0.25</v>
      </c>
      <c r="R7" s="95"/>
      <c r="U7" s="95"/>
    </row>
    <row r="8" spans="2:21" ht="15" thickBot="1" x14ac:dyDescent="0.4">
      <c r="B8" s="70" t="str">
        <f>DB_limits[[#Headers],[Vbat,min (V)]]</f>
        <v>Vbat,min (V)</v>
      </c>
      <c r="C8" s="61">
        <f>_xlfn.XLOOKUP($B$4, DB_limits[Name], DB_limits[Vbat,min (V)])</f>
        <v>14</v>
      </c>
      <c r="E8" s="154" t="s">
        <v>207</v>
      </c>
      <c r="F8" s="155"/>
      <c r="H8" s="70" t="str">
        <f>DB_Mostfet[[#Headers],[Rds,on@10V typ(mΩ)]] &amp;  " (not used)"</f>
        <v>Rds,on@10V typ(mΩ) (not used)</v>
      </c>
      <c r="I8" s="61">
        <f>_xlfn.XLOOKUP(H4, DB_Mostfet[Part], DB_Mostfet[Rds,on@10V typ(mΩ)])</f>
        <v>1.8</v>
      </c>
      <c r="K8" s="143" t="s">
        <v>132</v>
      </c>
      <c r="L8" s="144"/>
      <c r="R8" s="95"/>
      <c r="U8" s="95"/>
    </row>
    <row r="9" spans="2:21" ht="15" thickBot="1" x14ac:dyDescent="0.4">
      <c r="B9" s="70" t="str">
        <f>DB_limits[[#Headers],[Vbat,typ (V)]]</f>
        <v>Vbat,typ (V)</v>
      </c>
      <c r="C9" s="61">
        <f>_xlfn.XLOOKUP($B$4, DB_limits[Name], DB_limits[Vbat,typ (V)])</f>
        <v>25.200000000000003</v>
      </c>
      <c r="H9" s="70" t="str">
        <f>DB_Mostfet[[#Headers],[Rds,on@10V max (mΩ)]]</f>
        <v>Rds,on@10V max (mΩ)</v>
      </c>
      <c r="I9" s="122">
        <f>_xlfn.XLOOKUP(H4, DB_Mostfet[Part], DB_Mostfet[Rds,on@10V max (mΩ)])</f>
        <v>2.2000000000000002</v>
      </c>
      <c r="K9" s="70" t="str">
        <f>DB_ADC[[#Headers],[Vmax (V)]]</f>
        <v>Vmax (V)</v>
      </c>
      <c r="L9" s="61">
        <f>_xlfn.XLOOKUP($K$8, DB_ADC[Name], DB_ADC[Vmax (V)])</f>
        <v>3.5999999999999996</v>
      </c>
      <c r="N9" s="139" t="s">
        <v>254</v>
      </c>
      <c r="O9" s="140"/>
      <c r="Q9" s="115"/>
      <c r="R9" s="115"/>
      <c r="T9" s="115"/>
      <c r="U9" s="115"/>
    </row>
    <row r="10" spans="2:21" x14ac:dyDescent="0.35">
      <c r="B10" s="70" t="str">
        <f>DB_limits[[#Headers],[Vbat spike (V) @ run]]</f>
        <v>Vbat spike (V) @ run</v>
      </c>
      <c r="C10" s="61">
        <f>_xlfn.XLOOKUP($B$4, DB_limits[Name], DB_limits[Vbat spike (V) @ run])</f>
        <v>32</v>
      </c>
      <c r="E10" s="139" t="s">
        <v>216</v>
      </c>
      <c r="F10" s="140"/>
      <c r="H10" s="70" t="str">
        <f>DB_Mostfet[[#Headers],[Id @ Tc&gt;70°C (A)]]</f>
        <v>Id @ Tc&gt;70°C (A)</v>
      </c>
      <c r="I10" s="61">
        <f>_xlfn.XLOOKUP(H4, DB_Mostfet[Part], DB_Mostfet[Id @ Tc&gt;70°C (A)])</f>
        <v>100</v>
      </c>
      <c r="K10" s="141" t="s">
        <v>131</v>
      </c>
      <c r="L10" s="142"/>
      <c r="N10" s="141" t="s">
        <v>113</v>
      </c>
      <c r="O10" s="142"/>
      <c r="R10" s="95"/>
      <c r="U10" s="95"/>
    </row>
    <row r="11" spans="2:21" x14ac:dyDescent="0.35">
      <c r="B11" s="70" t="str">
        <f>DB_limits[[#Headers],[Vbat spike (V) @ disarm]]</f>
        <v>Vbat spike (V) @ disarm</v>
      </c>
      <c r="C11" s="61">
        <f>_xlfn.XLOOKUP($B$4, DB_limits[Name], DB_limits[Vbat spike (V) @ disarm])</f>
        <v>45</v>
      </c>
      <c r="E11" s="141" t="s">
        <v>131</v>
      </c>
      <c r="F11" s="142"/>
      <c r="H11" s="70" t="str">
        <f>DB_Mostfet[[#Headers],[Id @ Ta&gt;70°C (A)]]</f>
        <v>Id @ Ta&gt;70°C (A)</v>
      </c>
      <c r="I11" s="122" t="str">
        <f>_xlfn.XLOOKUP(H4, DB_Mostfet[Part], DB_Mostfet[Id @ Ta&gt;70°C (A)])</f>
        <v>(est ~21A)</v>
      </c>
      <c r="K11" s="119" t="s">
        <v>127</v>
      </c>
      <c r="L11" s="61">
        <v>12</v>
      </c>
      <c r="N11" s="152" t="s">
        <v>132</v>
      </c>
      <c r="O11" s="153"/>
      <c r="R11" s="95"/>
      <c r="U11" s="95"/>
    </row>
    <row r="12" spans="2:21" ht="15" thickBot="1" x14ac:dyDescent="0.4">
      <c r="B12" s="70" t="str">
        <f>DB_limits[[#Headers],[Vph spike (V) @ run]]</f>
        <v>Vph spike (V) @ run</v>
      </c>
      <c r="C12" s="61">
        <f>_xlfn.XLOOKUP($B$4, DB_limits[Name], DB_limits[Vph spike (V) @ run])</f>
        <v>35</v>
      </c>
      <c r="E12" s="120" t="s">
        <v>228</v>
      </c>
      <c r="F12" s="121">
        <v>10</v>
      </c>
      <c r="H12" s="70" t="str">
        <f>DB_Mostfet[[#Headers],[Size (mm)]]</f>
        <v>Size (mm)</v>
      </c>
      <c r="I12" s="61" t="str">
        <f>_xlfn.XLOOKUP(H4, DB_Mostfet[Part], DB_Mostfet[Size (mm)])</f>
        <v>5x6</v>
      </c>
      <c r="K12" s="119" t="s">
        <v>283</v>
      </c>
      <c r="L12" s="61">
        <v>2.5</v>
      </c>
      <c r="N12" s="70" t="str">
        <f>DB_ADC[[#Headers],[Csamp (pF)]]</f>
        <v>Csamp (pF)</v>
      </c>
      <c r="O12" s="61">
        <f>_xlfn.XLOOKUP($N$11, DB_ADC[Name], DB_ADC[Csamp (pF)])</f>
        <v>5</v>
      </c>
      <c r="R12" s="95"/>
      <c r="T12" s="115"/>
      <c r="U12" s="115"/>
    </row>
    <row r="13" spans="2:21" ht="15" thickBot="1" x14ac:dyDescent="0.4">
      <c r="B13" s="70" t="str">
        <f>DB_limits[[#Headers],[Vph spike (V) @ disarm]]</f>
        <v>Vph spike (V) @ disarm</v>
      </c>
      <c r="C13" s="61">
        <f>_xlfn.XLOOKUP($B$4, DB_limits[Name], DB_limits[Vph spike (V) @ disarm])</f>
        <v>28</v>
      </c>
      <c r="F13" s="94"/>
      <c r="H13" s="70" t="str">
        <f>DB_Mostfet[[#Headers],[JLCPBC stock]]</f>
        <v>JLCPBC stock</v>
      </c>
      <c r="I13" s="61" t="str">
        <f>_xlfn.XLOOKUP(H4, DB_Mostfet[Part], DB_Mostfet[JLCPBC stock])</f>
        <v>Yes</v>
      </c>
      <c r="K13" s="119" t="s">
        <v>141</v>
      </c>
      <c r="L13" s="61">
        <v>64</v>
      </c>
      <c r="N13" s="70" t="str">
        <f>DB_ADC[[#Headers],[Cpad (pF)]]</f>
        <v>Cpad (pF)</v>
      </c>
      <c r="O13" s="61">
        <f>_xlfn.XLOOKUP($N$11, DB_ADC[Name], DB_ADC[Cpad (pF)])</f>
        <v>5</v>
      </c>
      <c r="Q13" s="115"/>
      <c r="R13" s="115"/>
      <c r="U13" s="96"/>
    </row>
    <row r="14" spans="2:21" x14ac:dyDescent="0.35">
      <c r="B14" s="70" t="str">
        <f>DB_limits[[#Headers],[Iph typ (A)]] &amp; " @ " &amp; _xlfn.XLOOKUP($B$4, DB_limits[Name], DB_limits[ToF Iph typ (%)]) &amp; "% ToF"</f>
        <v>Iph typ (A) @ 95% ToF</v>
      </c>
      <c r="C14" s="61">
        <f>_xlfn.XLOOKUP($B$4, DB_limits[Name], DB_limits[Iph typ (A)])</f>
        <v>12.5</v>
      </c>
      <c r="E14" s="139" t="s">
        <v>253</v>
      </c>
      <c r="F14" s="140"/>
      <c r="H14" s="145" t="s">
        <v>130</v>
      </c>
      <c r="I14" s="146"/>
      <c r="K14" s="141" t="s">
        <v>130</v>
      </c>
      <c r="L14" s="142"/>
      <c r="N14" s="141" t="s">
        <v>131</v>
      </c>
      <c r="O14" s="142"/>
      <c r="R14" s="96"/>
    </row>
    <row r="15" spans="2:21" x14ac:dyDescent="0.35">
      <c r="B15" s="70" t="str">
        <f>DB_limits[[#Headers],[Iph max (A@Xs)]] &amp; " @ " &amp; _xlfn.XLOOKUP($B$4, DB_limits[Name], DB_limits[ToF Iph max (%)]) &amp; "% ToF"</f>
        <v>Iph max (A@Xs) @ 4.9% ToF</v>
      </c>
      <c r="C15" s="61">
        <f>_xlfn.XLOOKUP($B$4, DB_limits[Name], DB_limits[Iph max (A@Xs)])</f>
        <v>20</v>
      </c>
      <c r="E15" s="141" t="s">
        <v>131</v>
      </c>
      <c r="F15" s="142"/>
      <c r="H15" s="73" t="str">
        <f>CAL_Fets!G28</f>
        <v>Ptot,typ (mW)</v>
      </c>
      <c r="I15" s="74">
        <f>CAL_Fets!H28</f>
        <v>1667.2220807894741</v>
      </c>
      <c r="K15" s="73" t="s">
        <v>300</v>
      </c>
      <c r="L15" s="78">
        <f>(L11+L12+0.5)*_xlfn.XLOOKUP(K8,DB_ADC[Name],DB_ADC[Tadc,clock (ns)])</f>
        <v>250.00000000000003</v>
      </c>
      <c r="N15" s="119" t="s">
        <v>127</v>
      </c>
      <c r="O15" s="61">
        <v>8</v>
      </c>
      <c r="T15" s="116"/>
      <c r="U15" s="116"/>
    </row>
    <row r="16" spans="2:21" ht="15" thickBot="1" x14ac:dyDescent="0.4">
      <c r="B16" s="70" t="str">
        <f>DB_limits[[#Headers],[Iph spike (A@Xms)]]  &amp; " @ " &amp; _xlfn.XLOOKUP($B$4, DB_limits[Name], DB_limits[ToF Iph spike (%)]) &amp; "% ToF"</f>
        <v>Iph spike (A@Xms) @ 0.1% ToF</v>
      </c>
      <c r="C16" s="61">
        <f>_xlfn.XLOOKUP($B$4, DB_limits[Name], DB_limits[Iph spike (A@Xms)])</f>
        <v>50</v>
      </c>
      <c r="E16" s="136" t="s">
        <v>324</v>
      </c>
      <c r="F16" s="138">
        <v>60</v>
      </c>
      <c r="H16" s="128" t="str">
        <f>CAL_Fets!G29</f>
        <v>Ptot,max (mW)</v>
      </c>
      <c r="I16" s="129">
        <f>CAL_Fets!H29</f>
        <v>3145.7629473684219</v>
      </c>
      <c r="K16" s="126" t="str">
        <f>CAL_Rshunt!G22</f>
        <v>Vshunt,amp,spike (V)</v>
      </c>
      <c r="L16" s="130">
        <f>CAL_Rshunt!H22</f>
        <v>2.72</v>
      </c>
      <c r="N16" s="119" t="s">
        <v>283</v>
      </c>
      <c r="O16" s="61">
        <v>2.5</v>
      </c>
      <c r="Q16" s="108"/>
      <c r="R16" s="108"/>
      <c r="T16" s="115"/>
      <c r="U16" s="115"/>
    </row>
    <row r="17" spans="2:21" x14ac:dyDescent="0.35">
      <c r="B17" s="70" t="str">
        <f>DB_limits[[#Headers],[Iph mean (A)]]</f>
        <v>Iph mean (A)</v>
      </c>
      <c r="C17" s="78">
        <f>_xlfn.XLOOKUP($B$4, DB_limits[Name], DB_limits[Iph mean (A)])</f>
        <v>12.905000000000001</v>
      </c>
      <c r="E17" s="136" t="s">
        <v>325</v>
      </c>
      <c r="F17" s="138">
        <v>30</v>
      </c>
      <c r="K17" s="126" t="str">
        <f>CAL_Rshunt!J6</f>
        <v>ΔIlsb (mA/bit)</v>
      </c>
      <c r="L17" s="130">
        <f>CAL_Rshunt!K6</f>
        <v>14.813617754794226</v>
      </c>
      <c r="N17" s="132" t="s">
        <v>289</v>
      </c>
      <c r="O17" s="133">
        <v>5</v>
      </c>
      <c r="Q17" s="115"/>
      <c r="R17" s="115"/>
      <c r="U17" s="95"/>
    </row>
    <row r="18" spans="2:21" x14ac:dyDescent="0.35">
      <c r="B18" s="70" t="str">
        <f>DB_limits[[#Headers],[Termistors]]</f>
        <v>Termistors</v>
      </c>
      <c r="C18" s="78" t="str">
        <f>_xlfn.XLOOKUP($B$4, DB_limits[Name], DB_limits[Termistors])</f>
        <v>3 (one at each FET)</v>
      </c>
      <c r="E18" s="136" t="s">
        <v>239</v>
      </c>
      <c r="F18" s="137">
        <v>3</v>
      </c>
      <c r="K18" s="73" t="str">
        <f>CAL_Rshunt!J14</f>
        <v>Pshunt,mean (mW)</v>
      </c>
      <c r="L18" s="78">
        <f>CAL_Rshunt!K14</f>
        <v>84.934902750000006</v>
      </c>
      <c r="N18" s="141" t="s">
        <v>130</v>
      </c>
      <c r="O18" s="142"/>
      <c r="R18" s="94"/>
      <c r="U18" s="95"/>
    </row>
    <row r="19" spans="2:21" ht="15" thickBot="1" x14ac:dyDescent="0.4">
      <c r="B19" s="141" t="s">
        <v>131</v>
      </c>
      <c r="C19" s="142"/>
      <c r="E19" s="119" t="s">
        <v>146</v>
      </c>
      <c r="F19" s="61">
        <v>3.3</v>
      </c>
      <c r="K19" s="128" t="str">
        <f>CAL_Rshunt!J22</f>
        <v>Pshunt,max (mW@Xs)</v>
      </c>
      <c r="L19" s="131">
        <f>CAL_Rshunt!K22</f>
        <v>204</v>
      </c>
      <c r="N19" s="73" t="s">
        <v>300</v>
      </c>
      <c r="O19" s="78">
        <f>(O15+O16+0.5)*_xlfn.XLOOKUP(N11,DB_ADC[Name],DB_ADC[Tadc,clock (ns)])</f>
        <v>183.33333333333334</v>
      </c>
      <c r="R19" s="93"/>
      <c r="U19" s="95"/>
    </row>
    <row r="20" spans="2:21" x14ac:dyDescent="0.35">
      <c r="B20" s="119" t="s">
        <v>139</v>
      </c>
      <c r="C20" s="61">
        <v>480</v>
      </c>
      <c r="E20" s="117" t="s">
        <v>130</v>
      </c>
      <c r="F20" s="118"/>
      <c r="N20" s="73" t="str">
        <f>'CAL_Rv1-2'!G5</f>
        <v>Rv1,th (Ω)</v>
      </c>
      <c r="O20" s="74">
        <f>'CAL_Rv1-2'!H5</f>
        <v>9606.0606060606078</v>
      </c>
      <c r="R20" s="93"/>
      <c r="U20" s="95"/>
    </row>
    <row r="21" spans="2:21" ht="15" thickBot="1" x14ac:dyDescent="0.4">
      <c r="B21" s="120" t="s">
        <v>224</v>
      </c>
      <c r="C21" s="121">
        <v>300</v>
      </c>
      <c r="E21" s="126" t="str">
        <f>CAL_Cboot!G12</f>
        <v>Vboot,min (V)</v>
      </c>
      <c r="F21" s="127">
        <f>CAL_Cboot!H12</f>
        <v>6.74</v>
      </c>
      <c r="N21" s="73" t="str">
        <f>'CAL_Rv1-2'!G6</f>
        <v>Rv1 (Ω)</v>
      </c>
      <c r="O21" s="74">
        <f>'CAL_Rv1-2'!H6</f>
        <v>10000</v>
      </c>
      <c r="R21" s="93"/>
      <c r="U21" s="95"/>
    </row>
    <row r="22" spans="2:21" x14ac:dyDescent="0.35">
      <c r="E22" s="126" t="str">
        <f>CAL_Cboot!G18</f>
        <v>Vboot,max (V)</v>
      </c>
      <c r="F22" s="127">
        <f>CAL_Cboot!H18</f>
        <v>10.26</v>
      </c>
      <c r="N22" s="73" t="str">
        <f>'CAL_Rv1-2'!G24</f>
        <v>Vdivider,typ (V)</v>
      </c>
      <c r="O22" s="74">
        <f>'CAL_Rv1-2'!H24</f>
        <v>2.2909090909090915</v>
      </c>
      <c r="R22" s="94"/>
      <c r="U22" s="95"/>
    </row>
    <row r="23" spans="2:21" x14ac:dyDescent="0.35">
      <c r="E23" s="73" t="str">
        <f>CAL_Cboot!M4</f>
        <v>Cboot,th (nF)</v>
      </c>
      <c r="F23" s="85">
        <f>CAL_Cboot!N4</f>
        <v>167.44099069148933</v>
      </c>
      <c r="N23" s="73" t="str">
        <f>'CAL_Rv1-2'!J5</f>
        <v>Idivider,typ (mA)</v>
      </c>
      <c r="O23" s="74">
        <f>'CAL_Rv1-2'!K5</f>
        <v>2.2909090909090915</v>
      </c>
      <c r="R23" s="93"/>
      <c r="T23" s="151"/>
      <c r="U23" s="151"/>
    </row>
    <row r="24" spans="2:21" x14ac:dyDescent="0.35">
      <c r="E24" s="73" t="str">
        <f>CAL_Cboot!M5</f>
        <v>Cboot (nF)</v>
      </c>
      <c r="F24" s="85">
        <f>CAL_Cboot!N5</f>
        <v>180</v>
      </c>
      <c r="N24" s="126" t="str">
        <f>'CAL_Rv1-2'!J25</f>
        <v>ΔVlsb,fullscale (mV/bit)</v>
      </c>
      <c r="O24" s="127">
        <f>'CAL_Rv1-2'!K25</f>
        <v>142.35294117647058</v>
      </c>
      <c r="Q24" s="115"/>
      <c r="U24" s="94"/>
    </row>
    <row r="25" spans="2:21" ht="15" thickBot="1" x14ac:dyDescent="0.4">
      <c r="E25" s="73" t="str">
        <f>CAL_Cboot!P23</f>
        <v>Prboot (mW)</v>
      </c>
      <c r="F25" s="85">
        <f>CAL_Cboot!Q23</f>
        <v>49.417752774193538</v>
      </c>
      <c r="N25" s="128" t="str">
        <f>'CAL_Rv1-2'!G14</f>
        <v>Prv1,rv2 (mW)</v>
      </c>
      <c r="O25" s="134">
        <f>'CAL_Rv1-2'!H14</f>
        <v>111.36363636363636</v>
      </c>
      <c r="U25" s="94"/>
    </row>
    <row r="26" spans="2:21" ht="15" thickBot="1" x14ac:dyDescent="0.4">
      <c r="E26" s="73" t="str">
        <f>CAL_Cboot!M13</f>
        <v>t_recharge (µs)</v>
      </c>
      <c r="F26" s="78">
        <f>CAL_Cboot!N13</f>
        <v>1.2624999999999995</v>
      </c>
      <c r="U26" s="94"/>
    </row>
    <row r="27" spans="2:21" ht="15" thickBot="1" x14ac:dyDescent="0.4">
      <c r="E27" s="128" t="str">
        <f>CAL_Cboot!P8</f>
        <v>Vboot,max@Dmax (V)</v>
      </c>
      <c r="F27" s="129">
        <f>CAL_Cboot!Q8</f>
        <v>10.255157760457088</v>
      </c>
      <c r="N27" s="139" t="s">
        <v>269</v>
      </c>
      <c r="O27" s="140"/>
      <c r="U27" s="94"/>
    </row>
    <row r="28" spans="2:21" ht="15" thickBot="1" x14ac:dyDescent="0.4">
      <c r="N28" s="141" t="s">
        <v>131</v>
      </c>
      <c r="O28" s="142"/>
      <c r="U28" s="96"/>
    </row>
    <row r="29" spans="2:21" x14ac:dyDescent="0.35">
      <c r="E29" s="124" t="s">
        <v>230</v>
      </c>
      <c r="F29" s="125"/>
      <c r="N29" s="119" t="s">
        <v>268</v>
      </c>
      <c r="O29" s="61">
        <v>100</v>
      </c>
      <c r="U29" s="93"/>
    </row>
    <row r="30" spans="2:21" x14ac:dyDescent="0.35">
      <c r="E30" s="117" t="s">
        <v>131</v>
      </c>
      <c r="F30" s="118"/>
      <c r="N30" s="136" t="s">
        <v>214</v>
      </c>
      <c r="O30" s="138">
        <v>40</v>
      </c>
    </row>
    <row r="31" spans="2:21" x14ac:dyDescent="0.35">
      <c r="E31" s="119" t="s">
        <v>149</v>
      </c>
      <c r="F31" s="61">
        <v>3.3</v>
      </c>
      <c r="N31" s="136" t="s">
        <v>295</v>
      </c>
      <c r="O31" s="138">
        <v>12</v>
      </c>
    </row>
    <row r="32" spans="2:21" x14ac:dyDescent="0.35">
      <c r="E32" s="119" t="s">
        <v>142</v>
      </c>
      <c r="F32" s="61">
        <v>10</v>
      </c>
      <c r="N32" s="136" t="s">
        <v>296</v>
      </c>
      <c r="O32" s="138">
        <v>5</v>
      </c>
    </row>
    <row r="33" spans="5:15" x14ac:dyDescent="0.35">
      <c r="E33" s="136" t="s">
        <v>240</v>
      </c>
      <c r="F33" s="137">
        <v>1.5</v>
      </c>
      <c r="N33" s="141" t="s">
        <v>130</v>
      </c>
      <c r="O33" s="142"/>
    </row>
    <row r="34" spans="5:15" x14ac:dyDescent="0.35">
      <c r="E34" s="117" t="s">
        <v>130</v>
      </c>
      <c r="F34" s="118"/>
      <c r="N34" s="73" t="str">
        <f>'CAL_Rv1-2'!M22</f>
        <v>Cadc,ext,real (pF)</v>
      </c>
      <c r="O34" s="85">
        <f>'CAL_Rv1-2'!N22</f>
        <v>60</v>
      </c>
    </row>
    <row r="35" spans="5:15" x14ac:dyDescent="0.35">
      <c r="E35" s="73" t="str">
        <f>CAL_Rg!J5</f>
        <v>Ig,max,on (A)</v>
      </c>
      <c r="F35" s="78">
        <f>CAL_Rg!K5</f>
        <v>1.7389830508474575</v>
      </c>
      <c r="N35" s="126" t="str">
        <f>'CAL_Rv1-2'!M30</f>
        <v>Tfill,adc,ext (ns)</v>
      </c>
      <c r="O35" s="135">
        <f>'CAL_Rv1-2'!N30</f>
        <v>282.62727272727278</v>
      </c>
    </row>
    <row r="36" spans="5:15" ht="15" thickBot="1" x14ac:dyDescent="0.4">
      <c r="E36" s="73" t="str">
        <f>CAL_Rg!J6</f>
        <v>Ig,max,off (A)</v>
      </c>
      <c r="F36" s="78">
        <f>CAL_Rg!K6</f>
        <v>2.2768614691527969</v>
      </c>
      <c r="N36" s="177" t="str">
        <f>'CAL_Rv1-2'!P13</f>
        <v>Tfill,samp (ns)</v>
      </c>
      <c r="O36" s="178">
        <f>'CAL_Rv1-2'!Q13</f>
        <v>169.57636363636365</v>
      </c>
    </row>
    <row r="37" spans="5:15" x14ac:dyDescent="0.35">
      <c r="E37" s="126" t="str">
        <f>CAL_Rg!J25</f>
        <v>t_rise (ns)</v>
      </c>
      <c r="F37" s="130">
        <f>CAL_Rg!K25</f>
        <v>9.8825000000000003</v>
      </c>
      <c r="N37" s="67" t="s">
        <v>299</v>
      </c>
    </row>
    <row r="38" spans="5:15" x14ac:dyDescent="0.35">
      <c r="E38" s="126" t="str">
        <f>CAL_Rg!J26</f>
        <v>t_fall (ns)</v>
      </c>
      <c r="F38" s="130">
        <f>CAL_Rg!K26</f>
        <v>7.5478900375939855</v>
      </c>
      <c r="N38" s="67" t="s">
        <v>298</v>
      </c>
    </row>
    <row r="39" spans="5:15" x14ac:dyDescent="0.35">
      <c r="E39" s="73" t="str">
        <f>CAL_Rg!M11</f>
        <v>Pg,loss (mW)</v>
      </c>
      <c r="F39" s="78">
        <f>CAL_Rg!N11</f>
        <v>40.383359999999996</v>
      </c>
    </row>
    <row r="40" spans="5:15" x14ac:dyDescent="0.35">
      <c r="E40" s="126" t="str">
        <f>CAL_Rg!P13</f>
        <v>Prg,on+off (mW)</v>
      </c>
      <c r="F40" s="130">
        <f>CAL_Rg!Q13</f>
        <v>27.360304480749178</v>
      </c>
    </row>
    <row r="41" spans="5:15" x14ac:dyDescent="0.35">
      <c r="E41" s="126" t="str">
        <f>CAL_Rg!P20</f>
        <v>Prg,off (mW)</v>
      </c>
      <c r="F41" s="130">
        <f>CAL_Rg!Q20</f>
        <v>3.8750645831104009</v>
      </c>
    </row>
    <row r="42" spans="5:15" ht="15" thickBot="1" x14ac:dyDescent="0.4">
      <c r="E42" s="87" t="str">
        <f>CAL_Rg!P26</f>
        <v>Prgdint,mean (mW)</v>
      </c>
      <c r="F42" s="89">
        <f>CAL_Rg!Q26</f>
        <v>9.1479909361404168</v>
      </c>
    </row>
  </sheetData>
  <mergeCells count="38">
    <mergeCell ref="T23:U23"/>
    <mergeCell ref="E2:F2"/>
    <mergeCell ref="E3:F3"/>
    <mergeCell ref="E7:F7"/>
    <mergeCell ref="E4:F4"/>
    <mergeCell ref="N11:O11"/>
    <mergeCell ref="E10:F10"/>
    <mergeCell ref="E11:F11"/>
    <mergeCell ref="N9:O9"/>
    <mergeCell ref="N2:O2"/>
    <mergeCell ref="K3:L3"/>
    <mergeCell ref="K2:L2"/>
    <mergeCell ref="K6:L6"/>
    <mergeCell ref="K7:L7"/>
    <mergeCell ref="N14:O14"/>
    <mergeCell ref="E8:F8"/>
    <mergeCell ref="T4:U4"/>
    <mergeCell ref="T2:U2"/>
    <mergeCell ref="T3:U3"/>
    <mergeCell ref="N3:O3"/>
    <mergeCell ref="B19:C19"/>
    <mergeCell ref="N10:O10"/>
    <mergeCell ref="E14:F14"/>
    <mergeCell ref="E15:F15"/>
    <mergeCell ref="K14:L14"/>
    <mergeCell ref="H4:I4"/>
    <mergeCell ref="H2:I2"/>
    <mergeCell ref="H3:I3"/>
    <mergeCell ref="B3:C3"/>
    <mergeCell ref="B4:C4"/>
    <mergeCell ref="B2:C2"/>
    <mergeCell ref="N18:O18"/>
    <mergeCell ref="K8:L8"/>
    <mergeCell ref="K10:L10"/>
    <mergeCell ref="H14:I14"/>
    <mergeCell ref="N28:O28"/>
    <mergeCell ref="N27:O27"/>
    <mergeCell ref="N33:O3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4260428-6412-4A56-BC06-446A0E5892BB}">
          <x14:formula1>
            <xm:f>DB_FETS!$A$2:$A$45</xm:f>
          </x14:formula1>
          <xm:sqref>H4:I4</xm:sqref>
        </x14:dataValidation>
        <x14:dataValidation type="list" allowBlank="1" showInputMessage="1" showErrorMessage="1" xr:uid="{0D718FDB-9418-42E1-88F8-AF60C4ADD467}">
          <x14:formula1>
            <xm:f>DB_ADC!$A$2:$A$21</xm:f>
          </x14:formula1>
          <xm:sqref>N11 T4 K8</xm:sqref>
        </x14:dataValidation>
        <x14:dataValidation type="list" allowBlank="1" showInputMessage="1" showErrorMessage="1" xr:uid="{85D05625-9851-4F66-A584-AE65C6830A4B}">
          <x14:formula1>
            <xm:f>DB_GD!$A$2:$A$17</xm:f>
          </x14:formula1>
          <xm:sqref>E3</xm:sqref>
        </x14:dataValidation>
        <x14:dataValidation type="list" allowBlank="1" showInputMessage="1" showErrorMessage="1" xr:uid="{224D5D49-8AE1-4B08-BB10-587BDE37AF2C}">
          <x14:formula1>
            <xm:f>DB_LIMITS!$A$2:$A$40</xm:f>
          </x14:formula1>
          <xm:sqref>B4:C4</xm:sqref>
        </x14:dataValidation>
        <x14:dataValidation type="list" allowBlank="1" showInputMessage="1" showErrorMessage="1" xr:uid="{58C481F0-7774-432B-A3AC-81D2FD5ED0A8}">
          <x14:formula1>
            <xm:f>DB_D!$A$2:$A$21</xm:f>
          </x14:formula1>
          <xm:sqref>E8</xm:sqref>
        </x14:dataValidation>
        <x14:dataValidation type="list" allowBlank="1" showInputMessage="1" showErrorMessage="1" xr:uid="{52ACB1B9-CEB3-42BB-8629-004AD536A65C}">
          <x14:formula1>
            <xm:f>DB_R!$A:$A</xm:f>
          </x14:formula1>
          <xm:sqref>O6 O4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41C35-229E-4EAF-A7B5-5AC73EEBC6B9}">
  <sheetPr codeName="Sheet2">
    <tabColor rgb="FF00B0F0"/>
  </sheetPr>
  <dimension ref="B1:Q32"/>
  <sheetViews>
    <sheetView tabSelected="1" zoomScaleNormal="100" workbookViewId="0">
      <selection activeCell="H18" sqref="H18"/>
    </sheetView>
  </sheetViews>
  <sheetFormatPr defaultRowHeight="14.5" x14ac:dyDescent="0.35"/>
  <cols>
    <col min="1" max="2" width="3.1796875" style="67" customWidth="1"/>
    <col min="3" max="3" width="23.26953125" style="67" bestFit="1" customWidth="1"/>
    <col min="4" max="4" width="17.1796875" style="67" customWidth="1"/>
    <col min="5" max="6" width="3.1796875" style="67" customWidth="1"/>
    <col min="7" max="7" width="23.453125" style="67" customWidth="1"/>
    <col min="8" max="8" width="9.54296875" style="67" customWidth="1"/>
    <col min="9" max="9" width="3.1796875" style="67" customWidth="1"/>
    <col min="10" max="10" width="22.81640625" style="67" customWidth="1"/>
    <col min="11" max="11" width="7.54296875" style="67" customWidth="1"/>
    <col min="12" max="12" width="3.1796875" style="67" customWidth="1"/>
    <col min="13" max="13" width="24" style="67" customWidth="1"/>
    <col min="14" max="14" width="6.6328125" style="67" customWidth="1"/>
    <col min="15" max="15" width="3.1796875" style="67" customWidth="1"/>
    <col min="16" max="16" width="25.36328125" style="67" customWidth="1"/>
    <col min="17" max="17" width="11.36328125" style="67" customWidth="1"/>
    <col min="18" max="18" width="5.1796875" style="67" customWidth="1"/>
    <col min="19" max="19" width="13.6328125" style="67" bestFit="1" customWidth="1"/>
    <col min="20" max="20" width="5.36328125" style="67" customWidth="1"/>
    <col min="21" max="16384" width="8.7265625" style="67"/>
  </cols>
  <sheetData>
    <row r="1" spans="2:17" ht="15" thickBot="1" x14ac:dyDescent="0.4"/>
    <row r="2" spans="2:17" x14ac:dyDescent="0.35">
      <c r="B2" s="63"/>
      <c r="C2" s="63"/>
      <c r="D2" s="63"/>
      <c r="E2" s="63"/>
      <c r="G2" s="68" t="str">
        <f>C13</f>
        <v>Vdd (V)</v>
      </c>
      <c r="H2" s="84">
        <f>D13</f>
        <v>10.5</v>
      </c>
      <c r="J2" s="68" t="str">
        <f>C30</f>
        <v>Qg,typ @ 10V (nC)</v>
      </c>
      <c r="K2" s="84">
        <f>D30</f>
        <v>41</v>
      </c>
      <c r="M2" s="68" t="str">
        <f>C20</f>
        <v>Safety margin on Cboot</v>
      </c>
      <c r="N2" s="84">
        <f>D20</f>
        <v>3</v>
      </c>
      <c r="P2" s="68" t="str">
        <f>G18</f>
        <v>Vboot,max (V)</v>
      </c>
      <c r="Q2" s="90">
        <f>H18</f>
        <v>10.26</v>
      </c>
    </row>
    <row r="3" spans="2:17" x14ac:dyDescent="0.35">
      <c r="B3" s="63"/>
      <c r="C3" s="158" t="s">
        <v>117</v>
      </c>
      <c r="D3" s="159"/>
      <c r="E3" s="64"/>
      <c r="G3" s="70" t="str">
        <f>C11</f>
        <v>Vhbr (V)</v>
      </c>
      <c r="H3" s="61">
        <f>D11</f>
        <v>6</v>
      </c>
      <c r="J3" s="70" t="str">
        <f>C14</f>
        <v>Ihb (mA)</v>
      </c>
      <c r="K3" s="61">
        <f>D14</f>
        <v>0.7</v>
      </c>
      <c r="M3" s="70" t="str">
        <f>C18</f>
        <v>Expected derating max (%)</v>
      </c>
      <c r="N3" s="61">
        <f>D18</f>
        <v>60</v>
      </c>
      <c r="P3" s="70" t="str">
        <f>G12</f>
        <v>Vboot,min (V)</v>
      </c>
      <c r="Q3" s="78">
        <f>H12</f>
        <v>6.74</v>
      </c>
    </row>
    <row r="4" spans="2:17" x14ac:dyDescent="0.35">
      <c r="B4" s="63"/>
      <c r="C4" s="36" t="s">
        <v>103</v>
      </c>
      <c r="D4" s="2" t="str">
        <f>HMI!B4</f>
        <v>V1.0</v>
      </c>
      <c r="E4" s="65"/>
      <c r="G4" s="70" t="str">
        <f>C12</f>
        <v>Vhbh,max (V)</v>
      </c>
      <c r="H4" s="61">
        <f>D12</f>
        <v>0.5</v>
      </c>
      <c r="J4" s="70" t="str">
        <f>C15</f>
        <v>Ihbs (mA)</v>
      </c>
      <c r="K4" s="74">
        <f>D15</f>
        <v>1.25</v>
      </c>
      <c r="M4" s="73" t="s">
        <v>267</v>
      </c>
      <c r="N4" s="85">
        <f>K15/(1-N3%)*N2</f>
        <v>167.44099069148933</v>
      </c>
      <c r="P4" s="70" t="str">
        <f>M13</f>
        <v>t_recharge (µs)</v>
      </c>
      <c r="Q4" s="78">
        <f>N13</f>
        <v>1.2624999999999995</v>
      </c>
    </row>
    <row r="5" spans="2:17" ht="15" thickBot="1" x14ac:dyDescent="0.4">
      <c r="B5" s="63"/>
      <c r="C5" s="36" t="str">
        <f>HMI!B6</f>
        <v>Dmax (%)</v>
      </c>
      <c r="D5" s="2">
        <f>_xlfn.XLOOKUP(D4, DB_limits[Name], DB_limits[Dmax (%)])</f>
        <v>90</v>
      </c>
      <c r="E5" s="65"/>
      <c r="G5" s="70" t="s">
        <v>208</v>
      </c>
      <c r="H5" s="61">
        <f>D23</f>
        <v>0.24</v>
      </c>
      <c r="J5" s="70" t="str">
        <f>G24</f>
        <v>Ipd (mA)</v>
      </c>
      <c r="K5" s="78">
        <f>H24</f>
        <v>1.026</v>
      </c>
      <c r="M5" s="87" t="s">
        <v>215</v>
      </c>
      <c r="N5" s="88">
        <f>_xlfn.MINIFS(J21:J32,J21:J32,"&gt;="&amp;N4)</f>
        <v>180</v>
      </c>
      <c r="P5" s="70" t="str">
        <f>M20</f>
        <v>Req (Ω)</v>
      </c>
      <c r="Q5" s="78">
        <f>N20</f>
        <v>2.8608870967741935</v>
      </c>
    </row>
    <row r="6" spans="2:17" ht="15" thickBot="1" x14ac:dyDescent="0.4">
      <c r="B6" s="63"/>
      <c r="C6" s="36" t="str">
        <f>HMI!B7</f>
        <v>Fmax (kHz)</v>
      </c>
      <c r="D6" s="2">
        <f>_xlfn.XLOOKUP(D4,DB_limits[Name],DB_limits[Fmax (kHz)])</f>
        <v>64</v>
      </c>
      <c r="E6" s="65"/>
      <c r="G6" s="87" t="s">
        <v>219</v>
      </c>
      <c r="H6" s="89">
        <f>H2-H3-H4-H5</f>
        <v>3.76</v>
      </c>
      <c r="J6" s="70" t="str">
        <f>C5</f>
        <v>Dmax (%)</v>
      </c>
      <c r="K6" s="61">
        <f>D5</f>
        <v>90</v>
      </c>
      <c r="M6" s="81"/>
      <c r="N6" s="82"/>
      <c r="P6" s="70" t="str">
        <f>M5</f>
        <v>Cboot (nF)</v>
      </c>
      <c r="Q6" s="85">
        <f>N4</f>
        <v>167.44099069148933</v>
      </c>
    </row>
    <row r="7" spans="2:17" x14ac:dyDescent="0.35">
      <c r="B7" s="63"/>
      <c r="C7" s="36" t="str">
        <f>HMI!B21</f>
        <v>t_blank@V_sw=0 (ns)</v>
      </c>
      <c r="D7" s="2">
        <f>HMI!C21</f>
        <v>300</v>
      </c>
      <c r="E7" s="65"/>
      <c r="G7" s="81"/>
      <c r="H7" s="82"/>
      <c r="J7" s="70" t="str">
        <f>C6</f>
        <v>Fmax (kHz)</v>
      </c>
      <c r="K7" s="61">
        <f>D6</f>
        <v>64</v>
      </c>
      <c r="M7" s="71"/>
      <c r="N7" s="72"/>
      <c r="P7" s="70" t="str">
        <f>C18</f>
        <v>Expected derating max (%)</v>
      </c>
      <c r="Q7" s="85">
        <f>D18</f>
        <v>60</v>
      </c>
    </row>
    <row r="8" spans="2:17" ht="15" thickBot="1" x14ac:dyDescent="0.4">
      <c r="B8" s="63"/>
      <c r="C8" s="158" t="s">
        <v>205</v>
      </c>
      <c r="D8" s="159"/>
      <c r="E8" s="64"/>
      <c r="G8" s="75"/>
      <c r="H8" s="76"/>
      <c r="J8" s="87" t="s">
        <v>223</v>
      </c>
      <c r="K8" s="88">
        <f>K2+(K3+(K4+K5)*K6%)/K7*10^3</f>
        <v>83.943749999999994</v>
      </c>
      <c r="M8" s="75"/>
      <c r="N8" s="76"/>
      <c r="P8" s="87" t="s">
        <v>221</v>
      </c>
      <c r="Q8" s="107">
        <f>Q2-(Q2-Q3)*EXP(-Q4/Q5/Q6/(1-Q7%)*10^3)</f>
        <v>10.255157760457088</v>
      </c>
    </row>
    <row r="9" spans="2:17" ht="15" thickBot="1" x14ac:dyDescent="0.4">
      <c r="B9" s="63"/>
      <c r="C9" s="36" t="s">
        <v>206</v>
      </c>
      <c r="D9" s="2" t="str">
        <f>HMI!E3</f>
        <v>Infineon 2EDL8024</v>
      </c>
      <c r="E9" s="65"/>
      <c r="J9" s="81"/>
      <c r="K9" s="82"/>
      <c r="P9" s="81"/>
      <c r="Q9" s="82"/>
    </row>
    <row r="10" spans="2:17" ht="15" thickBot="1" x14ac:dyDescent="0.4">
      <c r="B10" s="63"/>
      <c r="C10" s="36" t="s">
        <v>148</v>
      </c>
      <c r="D10" s="7">
        <f>_xlfn.XLOOKUP(D9, DB_GD[Part], DB_GD[Vfint,100mA (V)])</f>
        <v>2.15</v>
      </c>
      <c r="E10" s="66"/>
      <c r="G10" s="68" t="str">
        <f>G2</f>
        <v>Vdd (V)</v>
      </c>
      <c r="H10" s="69">
        <f>H2</f>
        <v>10.5</v>
      </c>
      <c r="J10" s="71"/>
      <c r="K10" s="72"/>
      <c r="M10" s="68" t="str">
        <f>J6</f>
        <v>Dmax (%)</v>
      </c>
      <c r="N10" s="84">
        <f>K6</f>
        <v>90</v>
      </c>
      <c r="P10" s="75"/>
      <c r="Q10" s="102"/>
    </row>
    <row r="11" spans="2:17" ht="15" thickBot="1" x14ac:dyDescent="0.4">
      <c r="B11" s="63"/>
      <c r="C11" s="36" t="s">
        <v>98</v>
      </c>
      <c r="D11" s="2">
        <f>_xlfn.XLOOKUP(D9, DB_GD[Part], DB_GD[Vhbr (V)])</f>
        <v>6</v>
      </c>
      <c r="E11" s="65"/>
      <c r="G11" s="70" t="str">
        <f>G6</f>
        <v>ΔVboot,max (V)</v>
      </c>
      <c r="H11" s="61">
        <f>H6</f>
        <v>3.76</v>
      </c>
      <c r="J11" s="75"/>
      <c r="K11" s="76"/>
      <c r="M11" s="70" t="str">
        <f>J7</f>
        <v>Fmax (kHz)</v>
      </c>
      <c r="N11" s="61">
        <f>K7</f>
        <v>64</v>
      </c>
    </row>
    <row r="12" spans="2:17" ht="15" thickBot="1" x14ac:dyDescent="0.4">
      <c r="B12" s="63"/>
      <c r="C12" s="36" t="str">
        <f>DB_GD[[#Headers],[Vhbh,max (V)]]</f>
        <v>Vhbh,max (V)</v>
      </c>
      <c r="D12" s="2">
        <f>_xlfn.XLOOKUP(D9, DB_GD[Part], DB_GD[Vhbh,max (V)])</f>
        <v>0.5</v>
      </c>
      <c r="E12" s="65"/>
      <c r="G12" s="87" t="s">
        <v>220</v>
      </c>
      <c r="H12" s="88">
        <f>H10-H11</f>
        <v>6.74</v>
      </c>
      <c r="M12" s="70" t="str">
        <f>C7</f>
        <v>t_blank@V_sw=0 (ns)</v>
      </c>
      <c r="N12" s="61">
        <f>D7</f>
        <v>300</v>
      </c>
      <c r="P12" s="68" t="str">
        <f>M5</f>
        <v>Cboot (nF)</v>
      </c>
      <c r="Q12" s="69">
        <f>N5</f>
        <v>180</v>
      </c>
    </row>
    <row r="13" spans="2:17" ht="15" thickBot="1" x14ac:dyDescent="0.4">
      <c r="B13" s="63"/>
      <c r="C13" s="36" t="str">
        <f>HMI!E5</f>
        <v>Vdd (V)</v>
      </c>
      <c r="D13" s="2">
        <f>HMI!F5</f>
        <v>10.5</v>
      </c>
      <c r="E13" s="65"/>
      <c r="G13" s="81"/>
      <c r="H13" s="82"/>
      <c r="J13" s="68" t="str">
        <f>J8</f>
        <v>Qbs (nC)</v>
      </c>
      <c r="K13" s="69">
        <f>K8</f>
        <v>83.943749999999994</v>
      </c>
      <c r="M13" s="87" t="s">
        <v>217</v>
      </c>
      <c r="N13" s="107">
        <f>((1-N10%)/N11)*1000-N12/1000</f>
        <v>1.2624999999999995</v>
      </c>
      <c r="P13" s="70" t="str">
        <f>C19</f>
        <v>Expected derating min (%)</v>
      </c>
      <c r="Q13" s="85">
        <f>D19</f>
        <v>30</v>
      </c>
    </row>
    <row r="14" spans="2:17" ht="15" thickBot="1" x14ac:dyDescent="0.4">
      <c r="B14" s="63"/>
      <c r="C14" s="36" t="str">
        <f>DB_GD[[#Headers],[Ihb (mA)]]</f>
        <v>Ihb (mA)</v>
      </c>
      <c r="D14" s="2">
        <f>_xlfn.XLOOKUP(D9, DB_GD[Part], DB_GD[Ihb (mA)])</f>
        <v>0.7</v>
      </c>
      <c r="E14" s="65"/>
      <c r="G14" s="75"/>
      <c r="H14" s="76"/>
      <c r="J14" s="70" t="str">
        <f>G6</f>
        <v>ΔVboot,max (V)</v>
      </c>
      <c r="K14" s="61">
        <f>H6</f>
        <v>3.76</v>
      </c>
      <c r="M14" s="81"/>
      <c r="N14" s="82"/>
      <c r="P14" s="70" t="str">
        <f>G6</f>
        <v>ΔVboot,max (V)</v>
      </c>
      <c r="Q14" s="85">
        <f>H6</f>
        <v>3.76</v>
      </c>
    </row>
    <row r="15" spans="2:17" ht="15" thickBot="1" x14ac:dyDescent="0.4">
      <c r="B15" s="63"/>
      <c r="C15" s="36" t="str">
        <f>DB_GD[[#Headers],[Ihbs (mA)]]</f>
        <v>Ihbs (mA)</v>
      </c>
      <c r="D15" s="2">
        <f>_xlfn.XLOOKUP(D9, DB_GD[Part], DB_GD[Ihbs (mA)])</f>
        <v>1.25</v>
      </c>
      <c r="E15" s="65"/>
      <c r="J15" s="87" t="s">
        <v>147</v>
      </c>
      <c r="K15" s="88">
        <f>K13/K14</f>
        <v>22.325465425531913</v>
      </c>
      <c r="M15" s="71"/>
      <c r="N15" s="72"/>
      <c r="P15" s="70" t="str">
        <f>C6</f>
        <v>Fmax (kHz)</v>
      </c>
      <c r="Q15" s="85">
        <f>D6</f>
        <v>64</v>
      </c>
    </row>
    <row r="16" spans="2:17" ht="15" thickBot="1" x14ac:dyDescent="0.4">
      <c r="B16" s="63"/>
      <c r="C16" s="36" t="str">
        <f>DB_GD[[#Headers],[Rboot,int (Ω)]]</f>
        <v>Rboot,int (Ω)</v>
      </c>
      <c r="D16" s="2">
        <f>_xlfn.XLOOKUP(D9, DB_GD[Part], DB_GD[Rboot,int (Ω)])</f>
        <v>21.5</v>
      </c>
      <c r="E16" s="65"/>
      <c r="G16" s="68" t="str">
        <f>G2</f>
        <v>Vdd (V)</v>
      </c>
      <c r="H16" s="69">
        <f>H2</f>
        <v>10.5</v>
      </c>
      <c r="J16" s="81"/>
      <c r="K16" s="82"/>
      <c r="M16" s="75"/>
      <c r="N16" s="76"/>
      <c r="P16" s="87" t="s">
        <v>322</v>
      </c>
      <c r="Q16" s="88">
        <f>0.5*Q12*(1-Q13%)*Q14^2*Q15*10^-3</f>
        <v>57.002803199999988</v>
      </c>
    </row>
    <row r="17" spans="2:17" ht="15" thickBot="1" x14ac:dyDescent="0.4">
      <c r="B17" s="63"/>
      <c r="C17" s="158" t="s">
        <v>213</v>
      </c>
      <c r="D17" s="159"/>
      <c r="E17" s="64"/>
      <c r="G17" s="70" t="str">
        <f>G5</f>
        <v>Vf (V)</v>
      </c>
      <c r="H17" s="61">
        <f>H5</f>
        <v>0.24</v>
      </c>
      <c r="J17" s="71"/>
      <c r="K17" s="72"/>
      <c r="P17" s="81"/>
      <c r="Q17" s="82"/>
    </row>
    <row r="18" spans="2:17" ht="15" thickBot="1" x14ac:dyDescent="0.4">
      <c r="B18" s="63"/>
      <c r="C18" s="36" t="str">
        <f>HMI!E16</f>
        <v>Expected derating max (%)</v>
      </c>
      <c r="D18" s="2">
        <f>HMI!F16</f>
        <v>60</v>
      </c>
      <c r="E18" s="65"/>
      <c r="G18" s="87" t="s">
        <v>218</v>
      </c>
      <c r="H18" s="107">
        <f>H16-H17</f>
        <v>10.26</v>
      </c>
      <c r="J18" s="75"/>
      <c r="K18" s="76"/>
      <c r="M18" s="68" t="str">
        <f>C27</f>
        <v>Rboot,ext (Ω)</v>
      </c>
      <c r="N18" s="69">
        <f>D27</f>
        <v>3.3</v>
      </c>
      <c r="P18" s="75"/>
      <c r="Q18" s="102"/>
    </row>
    <row r="19" spans="2:17" ht="15" thickBot="1" x14ac:dyDescent="0.4">
      <c r="B19" s="63"/>
      <c r="C19" s="36" t="str">
        <f>HMI!E17</f>
        <v>Expected derating min (%)</v>
      </c>
      <c r="D19" s="2">
        <f>HMI!F17</f>
        <v>30</v>
      </c>
      <c r="E19" s="65"/>
      <c r="G19" s="81"/>
      <c r="H19" s="82"/>
      <c r="M19" s="70" t="str">
        <f>C16</f>
        <v>Rboot,int (Ω)</v>
      </c>
      <c r="N19" s="61">
        <f>D16</f>
        <v>21.5</v>
      </c>
    </row>
    <row r="20" spans="2:17" ht="15" thickBot="1" x14ac:dyDescent="0.4">
      <c r="B20" s="63"/>
      <c r="C20" s="36" t="str">
        <f>HMI!E18</f>
        <v>Safety margin on Cboot</v>
      </c>
      <c r="D20" s="2">
        <f>HMI!F18</f>
        <v>3</v>
      </c>
      <c r="E20" s="65"/>
      <c r="G20" s="75"/>
      <c r="H20" s="76"/>
      <c r="J20" s="156" t="s">
        <v>229</v>
      </c>
      <c r="K20" s="157"/>
      <c r="M20" s="87" t="s">
        <v>222</v>
      </c>
      <c r="N20" s="88">
        <f>N19*N18/(N18+N19)</f>
        <v>2.8608870967741935</v>
      </c>
      <c r="P20" s="68" t="str">
        <f>C27</f>
        <v>Rboot,ext (Ω)</v>
      </c>
      <c r="Q20" s="84">
        <f>D27</f>
        <v>3.3</v>
      </c>
    </row>
    <row r="21" spans="2:17" ht="15" thickBot="1" x14ac:dyDescent="0.4">
      <c r="B21" s="63"/>
      <c r="C21" s="91" t="s">
        <v>210</v>
      </c>
      <c r="D21" s="92"/>
      <c r="E21" s="64"/>
      <c r="J21" s="152">
        <v>47</v>
      </c>
      <c r="K21" s="153"/>
      <c r="M21" s="81"/>
      <c r="N21" s="82"/>
      <c r="P21" s="70" t="str">
        <f>C16</f>
        <v>Rboot,int (Ω)</v>
      </c>
      <c r="Q21" s="61">
        <f>D16</f>
        <v>21.5</v>
      </c>
    </row>
    <row r="22" spans="2:17" x14ac:dyDescent="0.35">
      <c r="B22" s="63"/>
      <c r="C22" s="36" t="s">
        <v>206</v>
      </c>
      <c r="D22" s="2" t="str">
        <f>HMI!E8</f>
        <v>Rohm RB161QS-40</v>
      </c>
      <c r="E22" s="65"/>
      <c r="G22" s="68" t="str">
        <f>G18</f>
        <v>Vboot,max (V)</v>
      </c>
      <c r="H22" s="77">
        <f>H18</f>
        <v>10.26</v>
      </c>
      <c r="J22" s="152">
        <v>56</v>
      </c>
      <c r="K22" s="153"/>
      <c r="M22" s="105"/>
      <c r="N22" s="106"/>
      <c r="P22" s="70" t="str">
        <f>P16</f>
        <v>Pboot (mW)</v>
      </c>
      <c r="Q22" s="85">
        <f>Q16</f>
        <v>57.002803199999988</v>
      </c>
    </row>
    <row r="23" spans="2:17" ht="15" thickBot="1" x14ac:dyDescent="0.4">
      <c r="B23" s="63"/>
      <c r="C23" s="36" t="str">
        <f>DB_diode[[#Headers],[Vf@100mA (V)]]</f>
        <v>Vf@100mA (V)</v>
      </c>
      <c r="D23" s="2">
        <f>_xlfn.XLOOKUP(D22, DB_diode[Ref], DB_diode[Vf@100mA (V)])</f>
        <v>0.24</v>
      </c>
      <c r="E23" s="65"/>
      <c r="G23" s="70" t="str">
        <f>C25</f>
        <v>Rpd,gate (kΩ)</v>
      </c>
      <c r="H23" s="61">
        <f>D25</f>
        <v>10</v>
      </c>
      <c r="J23" s="152">
        <v>68</v>
      </c>
      <c r="K23" s="153"/>
      <c r="M23" s="75"/>
      <c r="N23" s="76"/>
      <c r="P23" s="87" t="s">
        <v>323</v>
      </c>
      <c r="Q23" s="107">
        <f>Q21/(Q20+Q21)*Q22</f>
        <v>49.417752774193538</v>
      </c>
    </row>
    <row r="24" spans="2:17" ht="15" thickBot="1" x14ac:dyDescent="0.4">
      <c r="B24" s="63"/>
      <c r="C24" s="91" t="s">
        <v>216</v>
      </c>
      <c r="D24" s="92"/>
      <c r="E24" s="64"/>
      <c r="G24" s="87" t="s">
        <v>212</v>
      </c>
      <c r="H24" s="107">
        <f>H22/H23</f>
        <v>1.026</v>
      </c>
      <c r="J24" s="152">
        <v>82</v>
      </c>
      <c r="K24" s="153"/>
      <c r="P24" s="81"/>
      <c r="Q24" s="82"/>
    </row>
    <row r="25" spans="2:17" x14ac:dyDescent="0.35">
      <c r="B25" s="63"/>
      <c r="C25" s="36" t="str">
        <f>HMI!E12</f>
        <v>Rpd,gate (kΩ)</v>
      </c>
      <c r="D25" s="2">
        <f>HMI!F12</f>
        <v>10</v>
      </c>
      <c r="E25" s="65"/>
      <c r="G25" s="81"/>
      <c r="H25" s="82"/>
      <c r="J25" s="152">
        <v>100</v>
      </c>
      <c r="K25" s="153"/>
      <c r="P25" s="71"/>
      <c r="Q25" s="72"/>
    </row>
    <row r="26" spans="2:17" ht="15" thickBot="1" x14ac:dyDescent="0.4">
      <c r="B26" s="63"/>
      <c r="C26" s="91" t="s">
        <v>226</v>
      </c>
      <c r="D26" s="92"/>
      <c r="E26" s="64"/>
      <c r="G26" s="75"/>
      <c r="H26" s="76"/>
      <c r="J26" s="152">
        <v>120</v>
      </c>
      <c r="K26" s="153"/>
      <c r="P26" s="75"/>
      <c r="Q26" s="76"/>
    </row>
    <row r="27" spans="2:17" x14ac:dyDescent="0.35">
      <c r="B27" s="63"/>
      <c r="C27" s="36" t="str">
        <f>HMI!E19</f>
        <v>Rboot,ext (Ω)</v>
      </c>
      <c r="D27" s="2">
        <f>HMI!F19</f>
        <v>3.3</v>
      </c>
      <c r="E27" s="65"/>
      <c r="J27" s="152">
        <v>150</v>
      </c>
      <c r="K27" s="153"/>
    </row>
    <row r="28" spans="2:17" x14ac:dyDescent="0.35">
      <c r="B28" s="63"/>
      <c r="C28" s="91" t="s">
        <v>102</v>
      </c>
      <c r="D28" s="92"/>
      <c r="E28" s="64"/>
      <c r="J28" s="152">
        <v>180</v>
      </c>
      <c r="K28" s="153"/>
    </row>
    <row r="29" spans="2:17" x14ac:dyDescent="0.35">
      <c r="B29" s="63"/>
      <c r="C29" s="36" t="s">
        <v>206</v>
      </c>
      <c r="D29" s="2" t="str">
        <f>HMI!H4</f>
        <v>TI CSD18540Q5B</v>
      </c>
      <c r="E29" s="65"/>
      <c r="J29" s="152">
        <v>220</v>
      </c>
      <c r="K29" s="153"/>
    </row>
    <row r="30" spans="2:17" x14ac:dyDescent="0.35">
      <c r="B30" s="63"/>
      <c r="C30" s="36" t="str">
        <f>HMI!H6</f>
        <v>Qg,typ @ 10V (nC)</v>
      </c>
      <c r="D30" s="2">
        <f>_xlfn.XLOOKUP(D29, DB_Mostfet[Part],DB_Mostfet[Qg,typ @ 10V (nC)])</f>
        <v>41</v>
      </c>
      <c r="E30" s="65"/>
      <c r="J30" s="152">
        <v>470</v>
      </c>
      <c r="K30" s="153"/>
    </row>
    <row r="31" spans="2:17" x14ac:dyDescent="0.35">
      <c r="B31" s="63"/>
      <c r="C31" s="63"/>
      <c r="D31" s="63"/>
      <c r="E31" s="63"/>
      <c r="J31" s="152">
        <v>680</v>
      </c>
      <c r="K31" s="153"/>
    </row>
    <row r="32" spans="2:17" ht="15" thickBot="1" x14ac:dyDescent="0.4">
      <c r="J32" s="154">
        <v>1000</v>
      </c>
      <c r="K32" s="155"/>
    </row>
  </sheetData>
  <mergeCells count="16">
    <mergeCell ref="J31:K31"/>
    <mergeCell ref="J32:K32"/>
    <mergeCell ref="J21:K21"/>
    <mergeCell ref="J22:K22"/>
    <mergeCell ref="J23:K23"/>
    <mergeCell ref="J26:K26"/>
    <mergeCell ref="J27:K27"/>
    <mergeCell ref="J28:K28"/>
    <mergeCell ref="C3:D3"/>
    <mergeCell ref="J24:K24"/>
    <mergeCell ref="J25:K25"/>
    <mergeCell ref="J29:K29"/>
    <mergeCell ref="J30:K30"/>
    <mergeCell ref="J20:K20"/>
    <mergeCell ref="C8:D8"/>
    <mergeCell ref="C17:D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3ED3-0677-4170-8DD5-1D48ECB6BB6E}">
  <sheetPr codeName="Sheet15">
    <tabColor rgb="FF00B0F0"/>
  </sheetPr>
  <dimension ref="B1:H32"/>
  <sheetViews>
    <sheetView workbookViewId="0">
      <selection activeCell="D24" sqref="D24"/>
    </sheetView>
  </sheetViews>
  <sheetFormatPr defaultRowHeight="14.5" x14ac:dyDescent="0.35"/>
  <cols>
    <col min="1" max="1" width="3.1796875" style="67" customWidth="1"/>
    <col min="2" max="2" width="3.26953125" style="67" customWidth="1"/>
    <col min="3" max="3" width="27" style="67" customWidth="1"/>
    <col min="4" max="4" width="16.81640625" style="67" customWidth="1"/>
    <col min="5" max="5" width="3.7265625" style="67" customWidth="1"/>
    <col min="6" max="6" width="3.1796875" style="67" customWidth="1"/>
    <col min="7" max="7" width="27.81640625" style="67" customWidth="1"/>
    <col min="8" max="8" width="9.08984375" style="67" customWidth="1"/>
    <col min="9" max="9" width="3.1796875" style="67" customWidth="1"/>
    <col min="10" max="10" width="23.26953125" style="67" bestFit="1" customWidth="1"/>
    <col min="11" max="11" width="7.7265625" style="67" customWidth="1"/>
    <col min="12" max="13" width="8.7265625" style="67"/>
    <col min="14" max="14" width="11.81640625" style="67" bestFit="1" customWidth="1"/>
    <col min="15" max="16384" width="8.7265625" style="67"/>
  </cols>
  <sheetData>
    <row r="1" spans="2:8" ht="15" thickBot="1" x14ac:dyDescent="0.4"/>
    <row r="2" spans="2:8" x14ac:dyDescent="0.35">
      <c r="B2" s="63"/>
      <c r="C2" s="63"/>
      <c r="D2" s="63"/>
      <c r="E2" s="63"/>
      <c r="G2" s="68" t="str">
        <f>C6</f>
        <v>Iph mean (A)</v>
      </c>
      <c r="H2" s="90">
        <f>D6</f>
        <v>12.905000000000001</v>
      </c>
    </row>
    <row r="3" spans="2:8" x14ac:dyDescent="0.35">
      <c r="B3" s="63"/>
      <c r="C3" s="158" t="s">
        <v>117</v>
      </c>
      <c r="D3" s="159"/>
      <c r="E3" s="64"/>
      <c r="G3" s="70" t="str">
        <f>C7</f>
        <v>Iph max (A@Xs) @ 4.9% ToF</v>
      </c>
      <c r="H3" s="61">
        <f>D7</f>
        <v>20</v>
      </c>
    </row>
    <row r="4" spans="2:8" x14ac:dyDescent="0.35">
      <c r="B4" s="63"/>
      <c r="C4" s="36" t="s">
        <v>103</v>
      </c>
      <c r="D4" s="2" t="str">
        <f>HMI!B4</f>
        <v>V1.0</v>
      </c>
      <c r="E4" s="65"/>
      <c r="G4" s="70" t="str">
        <f>C13</f>
        <v>Rds,on@10V max (mΩ)</v>
      </c>
      <c r="H4" s="61">
        <f>D13</f>
        <v>2.2000000000000002</v>
      </c>
    </row>
    <row r="5" spans="2:8" x14ac:dyDescent="0.35">
      <c r="B5" s="63"/>
      <c r="C5" s="36" t="str">
        <f>HMI!B9</f>
        <v>Vbat,typ (V)</v>
      </c>
      <c r="D5" s="2">
        <f>HMI!C9</f>
        <v>25.200000000000003</v>
      </c>
      <c r="E5" s="65"/>
      <c r="G5" s="70" t="str">
        <f>C9</f>
        <v>Dmax (%)</v>
      </c>
      <c r="H5" s="61">
        <f>D9</f>
        <v>90</v>
      </c>
    </row>
    <row r="6" spans="2:8" x14ac:dyDescent="0.35">
      <c r="B6" s="63"/>
      <c r="C6" s="36" t="str">
        <f>HMI!B17</f>
        <v>Iph mean (A)</v>
      </c>
      <c r="D6" s="7">
        <f>_xlfn.XLOOKUP(D4,DB_limits[Name],DB_limits[Iph mean (A)])</f>
        <v>12.905000000000001</v>
      </c>
      <c r="E6" s="65"/>
      <c r="G6" s="73" t="s">
        <v>317</v>
      </c>
      <c r="H6" s="85">
        <f>H2^2*H4*H5%</f>
        <v>329.74726950000013</v>
      </c>
    </row>
    <row r="7" spans="2:8" ht="15" thickBot="1" x14ac:dyDescent="0.4">
      <c r="B7" s="63"/>
      <c r="C7" s="36" t="str">
        <f>HMI!B15</f>
        <v>Iph max (A@Xs) @ 4.9% ToF</v>
      </c>
      <c r="D7" s="9">
        <f>_xlfn.XLOOKUP(D4,DB_limits[Name],DB_limits[Iph max (A@Xs)])</f>
        <v>20</v>
      </c>
      <c r="E7" s="65"/>
      <c r="G7" s="87" t="s">
        <v>316</v>
      </c>
      <c r="H7" s="88">
        <f>H3^2*H4*H5%</f>
        <v>792.00000000000011</v>
      </c>
    </row>
    <row r="8" spans="2:8" x14ac:dyDescent="0.35">
      <c r="B8" s="63"/>
      <c r="C8" s="36" t="str">
        <f>HMI!B12</f>
        <v>Vph spike (V) @ run</v>
      </c>
      <c r="D8" s="9">
        <f>_xlfn.XLOOKUP(D4,DB_limits[Name],DB_limits[Vph spike (V) @ run])</f>
        <v>35</v>
      </c>
      <c r="E8" s="65"/>
      <c r="G8" s="81"/>
      <c r="H8" s="82"/>
    </row>
    <row r="9" spans="2:8" x14ac:dyDescent="0.35">
      <c r="B9" s="63"/>
      <c r="C9" s="36" t="str">
        <f>HMI!B6</f>
        <v>Dmax (%)</v>
      </c>
      <c r="D9" s="2">
        <f>_xlfn.XLOOKUP(D4,DB_limits[Name],DB_limits[Dmax (%)])</f>
        <v>90</v>
      </c>
      <c r="E9" s="65"/>
      <c r="G9" s="71"/>
      <c r="H9" s="72"/>
    </row>
    <row r="10" spans="2:8" ht="15" thickBot="1" x14ac:dyDescent="0.4">
      <c r="B10" s="63"/>
      <c r="C10" s="36" t="str">
        <f>HMI!B7</f>
        <v>Fmax (kHz)</v>
      </c>
      <c r="D10" s="2">
        <f>HMI!C7</f>
        <v>64</v>
      </c>
      <c r="E10" s="65"/>
      <c r="G10" s="75"/>
      <c r="H10" s="76"/>
    </row>
    <row r="11" spans="2:8" ht="15" thickBot="1" x14ac:dyDescent="0.4">
      <c r="B11" s="63"/>
      <c r="C11" s="158" t="str">
        <f>HMI!H2</f>
        <v>MOSFET</v>
      </c>
      <c r="D11" s="159"/>
      <c r="E11" s="65"/>
    </row>
    <row r="12" spans="2:8" x14ac:dyDescent="0.35">
      <c r="B12" s="63"/>
      <c r="C12" s="36" t="str">
        <f>DB_Mostfet[[#Headers],[Part]]</f>
        <v>Part</v>
      </c>
      <c r="D12" s="2" t="str">
        <f>HMI!H4</f>
        <v>TI CSD18540Q5B</v>
      </c>
      <c r="E12" s="63"/>
      <c r="G12" s="68" t="str">
        <f>C8</f>
        <v>Vph spike (V) @ run</v>
      </c>
      <c r="H12" s="69">
        <f>D8</f>
        <v>35</v>
      </c>
    </row>
    <row r="13" spans="2:8" x14ac:dyDescent="0.35">
      <c r="B13" s="63"/>
      <c r="C13" s="36" t="str">
        <f>DB_Mostfet[[#Headers],[Rds,on@10V max (mΩ)]]</f>
        <v>Rds,on@10V max (mΩ)</v>
      </c>
      <c r="D13" s="2">
        <f>_xlfn.XLOOKUP(D12, DB_Mostfet[Part], DB_Mostfet[Rds,on@10V max (mΩ)])</f>
        <v>2.2000000000000002</v>
      </c>
      <c r="E13" s="64"/>
      <c r="G13" s="70" t="str">
        <f>C6</f>
        <v>Iph mean (A)</v>
      </c>
      <c r="H13" s="78">
        <f>D6</f>
        <v>12.905000000000001</v>
      </c>
    </row>
    <row r="14" spans="2:8" x14ac:dyDescent="0.35">
      <c r="B14" s="63"/>
      <c r="C14" s="158" t="s">
        <v>315</v>
      </c>
      <c r="D14" s="159"/>
      <c r="E14" s="65"/>
      <c r="G14" s="70" t="str">
        <f>C7</f>
        <v>Iph max (A@Xs) @ 4.9% ToF</v>
      </c>
      <c r="H14" s="85">
        <f>D7</f>
        <v>20</v>
      </c>
    </row>
    <row r="15" spans="2:8" x14ac:dyDescent="0.35">
      <c r="B15" s="63"/>
      <c r="C15" s="36" t="str">
        <f>HMI!E37</f>
        <v>t_rise (ns)</v>
      </c>
      <c r="D15" s="7">
        <f>HMI!F37</f>
        <v>9.8825000000000003</v>
      </c>
      <c r="E15" s="63"/>
      <c r="G15" s="70" t="str">
        <f>C10</f>
        <v>Fmax (kHz)</v>
      </c>
      <c r="H15" s="61">
        <f>D10</f>
        <v>64</v>
      </c>
    </row>
    <row r="16" spans="2:8" x14ac:dyDescent="0.35">
      <c r="B16" s="63"/>
      <c r="C16" s="36" t="str">
        <f>HMI!E38</f>
        <v>t_fall (ns)</v>
      </c>
      <c r="D16" s="7">
        <f>HMI!F38</f>
        <v>7.5478900375939855</v>
      </c>
      <c r="E16" s="64"/>
      <c r="G16" s="70" t="str">
        <f>C15</f>
        <v>t_rise (ns)</v>
      </c>
      <c r="H16" s="78">
        <f>D15</f>
        <v>9.8825000000000003</v>
      </c>
    </row>
    <row r="17" spans="2:8" x14ac:dyDescent="0.35">
      <c r="B17" s="63"/>
      <c r="C17" s="63"/>
      <c r="D17" s="63"/>
      <c r="E17" s="63"/>
      <c r="G17" s="70" t="str">
        <f>C16</f>
        <v>t_fall (ns)</v>
      </c>
      <c r="H17" s="78">
        <f>D16</f>
        <v>7.5478900375939855</v>
      </c>
    </row>
    <row r="18" spans="2:8" x14ac:dyDescent="0.35">
      <c r="G18" s="73" t="s">
        <v>318</v>
      </c>
      <c r="H18" s="85">
        <f>0.5*H12*H13*H15*(H16+H17)*10^-3</f>
        <v>251.9318854473685</v>
      </c>
    </row>
    <row r="19" spans="2:8" ht="15" thickBot="1" x14ac:dyDescent="0.4">
      <c r="G19" s="73" t="s">
        <v>319</v>
      </c>
      <c r="H19" s="85">
        <f>0.5*H12*H14*H15*(H16+H17)*10^-3</f>
        <v>390.44073684210537</v>
      </c>
    </row>
    <row r="20" spans="2:8" x14ac:dyDescent="0.35">
      <c r="G20" s="81"/>
      <c r="H20" s="82"/>
    </row>
    <row r="21" spans="2:8" x14ac:dyDescent="0.35">
      <c r="G21" s="71"/>
      <c r="H21" s="72"/>
    </row>
    <row r="22" spans="2:8" ht="15" thickBot="1" x14ac:dyDescent="0.4">
      <c r="G22" s="75"/>
      <c r="H22" s="76"/>
    </row>
    <row r="23" spans="2:8" ht="15" thickBot="1" x14ac:dyDescent="0.4"/>
    <row r="24" spans="2:8" x14ac:dyDescent="0.35">
      <c r="G24" s="68" t="str">
        <f>G6</f>
        <v>Pcond,mean (mW)</v>
      </c>
      <c r="H24" s="69">
        <f>H6</f>
        <v>329.74726950000013</v>
      </c>
    </row>
    <row r="25" spans="2:8" x14ac:dyDescent="0.35">
      <c r="G25" s="70" t="str">
        <f>G7</f>
        <v>Pcond,max (mW)</v>
      </c>
      <c r="H25" s="85">
        <f>H7</f>
        <v>792.00000000000011</v>
      </c>
    </row>
    <row r="26" spans="2:8" x14ac:dyDescent="0.35">
      <c r="G26" s="70" t="str">
        <f>G18</f>
        <v>Psw,typ (mW)</v>
      </c>
      <c r="H26" s="85">
        <f>H18</f>
        <v>251.9318854473685</v>
      </c>
    </row>
    <row r="27" spans="2:8" x14ac:dyDescent="0.35">
      <c r="G27" s="70" t="str">
        <f>G19</f>
        <v>Psw,max (mW)</v>
      </c>
      <c r="H27" s="85">
        <f>H19</f>
        <v>390.44073684210537</v>
      </c>
    </row>
    <row r="28" spans="2:8" x14ac:dyDescent="0.35">
      <c r="G28" s="73" t="s">
        <v>320</v>
      </c>
      <c r="H28" s="85">
        <f>2*H24+4*H26</f>
        <v>1667.2220807894741</v>
      </c>
    </row>
    <row r="29" spans="2:8" ht="15" thickBot="1" x14ac:dyDescent="0.4">
      <c r="G29" s="73" t="s">
        <v>321</v>
      </c>
      <c r="H29" s="88">
        <f>2*H25+4*H27</f>
        <v>3145.7629473684219</v>
      </c>
    </row>
    <row r="30" spans="2:8" x14ac:dyDescent="0.35">
      <c r="G30" s="81"/>
      <c r="H30" s="82"/>
    </row>
    <row r="31" spans="2:8" x14ac:dyDescent="0.35">
      <c r="G31" s="71"/>
      <c r="H31" s="72"/>
    </row>
    <row r="32" spans="2:8" ht="15" thickBot="1" x14ac:dyDescent="0.4">
      <c r="G32" s="75"/>
      <c r="H32" s="76"/>
    </row>
  </sheetData>
  <mergeCells count="3">
    <mergeCell ref="C3:D3"/>
    <mergeCell ref="C11:D11"/>
    <mergeCell ref="C14:D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7F3BC-1B95-4392-8B66-8FBCE9C76508}">
  <sheetPr codeName="Sheet3">
    <tabColor rgb="FF00B0F0"/>
  </sheetPr>
  <dimension ref="B1:Q31"/>
  <sheetViews>
    <sheetView workbookViewId="0">
      <selection activeCell="P35" sqref="P35"/>
    </sheetView>
  </sheetViews>
  <sheetFormatPr defaultRowHeight="14.5" x14ac:dyDescent="0.35"/>
  <cols>
    <col min="1" max="2" width="3.1796875" style="67" customWidth="1"/>
    <col min="3" max="3" width="21.08984375" style="67" bestFit="1" customWidth="1"/>
    <col min="4" max="4" width="18.26953125" style="67" customWidth="1"/>
    <col min="5" max="6" width="3.1796875" style="67" customWidth="1"/>
    <col min="7" max="7" width="18.7265625" style="67" customWidth="1"/>
    <col min="8" max="8" width="8.90625" style="67" customWidth="1"/>
    <col min="9" max="9" width="3.1796875" style="67" customWidth="1"/>
    <col min="10" max="10" width="19.81640625" style="67" bestFit="1" customWidth="1"/>
    <col min="11" max="11" width="6.36328125" style="67" customWidth="1"/>
    <col min="12" max="12" width="3.1796875" style="67" customWidth="1"/>
    <col min="13" max="13" width="32.36328125" style="67" customWidth="1"/>
    <col min="14" max="14" width="8.26953125" style="67" customWidth="1"/>
    <col min="15" max="15" width="3.1796875" style="67" customWidth="1"/>
    <col min="16" max="16" width="25.08984375" style="67" customWidth="1"/>
    <col min="17" max="17" width="14.6328125" style="67" customWidth="1"/>
    <col min="18" max="18" width="3.1796875" style="67" customWidth="1"/>
    <col min="19" max="19" width="17.54296875" style="67" bestFit="1" customWidth="1"/>
    <col min="20" max="16384" width="8.7265625" style="67"/>
  </cols>
  <sheetData>
    <row r="1" spans="2:17" ht="15" thickBot="1" x14ac:dyDescent="0.4">
      <c r="E1" s="108"/>
    </row>
    <row r="2" spans="2:17" x14ac:dyDescent="0.35">
      <c r="B2" s="63"/>
      <c r="C2" s="63"/>
      <c r="D2" s="63"/>
      <c r="E2" s="65"/>
      <c r="G2" s="68" t="str">
        <f>C8</f>
        <v>Rg,off (Ω)</v>
      </c>
      <c r="H2" s="90">
        <f>D8</f>
        <v>10</v>
      </c>
      <c r="J2" s="68" t="str">
        <f>C16</f>
        <v>Vboot,max (V)</v>
      </c>
      <c r="K2" s="69">
        <f>D16</f>
        <v>10.26</v>
      </c>
      <c r="M2" s="68" t="str">
        <f>C21</f>
        <v>Qg,typ @ 10V (nC)</v>
      </c>
      <c r="N2" s="84">
        <f>D21</f>
        <v>41</v>
      </c>
      <c r="P2" s="68" t="str">
        <f>M28</f>
        <v>Rg,mean (Ω)</v>
      </c>
      <c r="Q2" s="77">
        <f>N28</f>
        <v>1.6090601503759396</v>
      </c>
    </row>
    <row r="3" spans="2:17" x14ac:dyDescent="0.35">
      <c r="B3" s="63"/>
      <c r="C3" s="158" t="s">
        <v>117</v>
      </c>
      <c r="D3" s="159"/>
      <c r="E3" s="65"/>
      <c r="G3" s="70" t="str">
        <f>C9</f>
        <v>Rg,on+off (Ω)</v>
      </c>
      <c r="H3" s="61">
        <f>D9</f>
        <v>3.3</v>
      </c>
      <c r="J3" s="70" t="str">
        <f>G13</f>
        <v>Req,on (Ω)</v>
      </c>
      <c r="K3" s="61">
        <f>H13</f>
        <v>5.9</v>
      </c>
      <c r="M3" s="70" t="str">
        <f>C16</f>
        <v>Vboot,max (V)</v>
      </c>
      <c r="N3" s="61">
        <f>D16</f>
        <v>10.26</v>
      </c>
      <c r="P3" s="70" t="str">
        <f>M20</f>
        <v>Rgatedriver,mean (Ω)</v>
      </c>
      <c r="Q3" s="74">
        <f>N20</f>
        <v>0.47125</v>
      </c>
    </row>
    <row r="4" spans="2:17" ht="15" thickBot="1" x14ac:dyDescent="0.4">
      <c r="B4" s="63"/>
      <c r="C4" s="36" t="s">
        <v>103</v>
      </c>
      <c r="D4" s="2" t="str">
        <f>HMI!B4</f>
        <v>V1.0</v>
      </c>
      <c r="E4" s="65"/>
      <c r="G4" s="79" t="s">
        <v>236</v>
      </c>
      <c r="H4" s="83">
        <f>H2*H3/(H3+H2)</f>
        <v>2.481203007518797</v>
      </c>
      <c r="J4" s="70" t="str">
        <f>G22</f>
        <v>Req,off (Ω)</v>
      </c>
      <c r="K4" s="78">
        <f>H22</f>
        <v>4.5062030075187973</v>
      </c>
      <c r="M4" s="70" t="str">
        <f>C6</f>
        <v>Fmax (kHz)</v>
      </c>
      <c r="N4" s="78">
        <f>D6</f>
        <v>64</v>
      </c>
      <c r="P4" s="70" t="str">
        <f>M11</f>
        <v>Pg,loss (mW)</v>
      </c>
      <c r="Q4" s="78">
        <f>N11</f>
        <v>40.383359999999996</v>
      </c>
    </row>
    <row r="5" spans="2:17" ht="15" thickBot="1" x14ac:dyDescent="0.4">
      <c r="B5" s="63"/>
      <c r="C5" s="36" t="str">
        <f>HMI!B6</f>
        <v>Dmax (%)</v>
      </c>
      <c r="D5" s="2">
        <f>HMI!C6</f>
        <v>90</v>
      </c>
      <c r="E5" s="63"/>
      <c r="G5" s="160"/>
      <c r="H5" s="161"/>
      <c r="J5" s="73" t="s">
        <v>302</v>
      </c>
      <c r="K5" s="74">
        <f>K2/K3</f>
        <v>1.7389830508474575</v>
      </c>
      <c r="M5" s="87" t="s">
        <v>241</v>
      </c>
      <c r="N5" s="89">
        <f>N2*N3*N4*10^-3</f>
        <v>26.922239999999999</v>
      </c>
      <c r="P5" s="79" t="s">
        <v>238</v>
      </c>
      <c r="Q5" s="86">
        <f>Q4*Q2/(Q2+Q3)</f>
        <v>31.235369063859579</v>
      </c>
    </row>
    <row r="6" spans="2:17" ht="15" thickBot="1" x14ac:dyDescent="0.4">
      <c r="B6" s="63"/>
      <c r="C6" s="36" t="str">
        <f>HMI!B7</f>
        <v>Fmax (kHz)</v>
      </c>
      <c r="D6" s="2">
        <f>HMI!C7</f>
        <v>64</v>
      </c>
      <c r="E6" s="64"/>
      <c r="G6" s="162"/>
      <c r="H6" s="163"/>
      <c r="J6" s="87" t="s">
        <v>303</v>
      </c>
      <c r="K6" s="107">
        <f>K2/K4</f>
        <v>2.2768614691527969</v>
      </c>
      <c r="M6" s="160"/>
      <c r="N6" s="161"/>
      <c r="P6" s="97"/>
      <c r="Q6" s="98"/>
    </row>
    <row r="7" spans="2:17" ht="15" thickBot="1" x14ac:dyDescent="0.4">
      <c r="B7" s="63"/>
      <c r="C7" s="158" t="s">
        <v>231</v>
      </c>
      <c r="D7" s="159"/>
      <c r="E7" s="65"/>
      <c r="G7" s="164"/>
      <c r="H7" s="165"/>
      <c r="J7" s="71"/>
      <c r="K7" s="72"/>
      <c r="M7" s="164"/>
      <c r="N7" s="165"/>
      <c r="P7" s="99"/>
      <c r="Q7" s="100"/>
    </row>
    <row r="8" spans="2:17" ht="15" thickBot="1" x14ac:dyDescent="0.4">
      <c r="B8" s="63"/>
      <c r="C8" s="36" t="str">
        <f>HMI!E32</f>
        <v>Rg,off (Ω)</v>
      </c>
      <c r="D8" s="2">
        <f>HMI!F32</f>
        <v>10</v>
      </c>
      <c r="E8" s="65"/>
      <c r="J8" s="71"/>
      <c r="K8" s="72"/>
      <c r="P8" s="101"/>
      <c r="Q8" s="102"/>
    </row>
    <row r="9" spans="2:17" ht="15" thickBot="1" x14ac:dyDescent="0.4">
      <c r="B9" s="63"/>
      <c r="C9" s="36" t="str">
        <f>HMI!E31</f>
        <v>Rg,on+off (Ω)</v>
      </c>
      <c r="D9" s="2">
        <f>HMI!F31</f>
        <v>3.3</v>
      </c>
      <c r="E9" s="63"/>
      <c r="G9" s="68" t="str">
        <f>C12</f>
        <v>Rpu,hs (Ω)</v>
      </c>
      <c r="H9" s="84">
        <f>D12</f>
        <v>1</v>
      </c>
      <c r="J9" s="71"/>
      <c r="K9" s="72"/>
      <c r="M9" s="68" t="str">
        <f>M5</f>
        <v>Pg,loss,min (mW)</v>
      </c>
      <c r="N9" s="69">
        <f>N5</f>
        <v>26.922239999999999</v>
      </c>
    </row>
    <row r="10" spans="2:17" ht="15" thickBot="1" x14ac:dyDescent="0.4">
      <c r="B10" s="63"/>
      <c r="C10" s="158" t="s">
        <v>232</v>
      </c>
      <c r="D10" s="159"/>
      <c r="E10" s="64"/>
      <c r="G10" s="70" t="str">
        <f>C13</f>
        <v>Rpu,ls (Ω)</v>
      </c>
      <c r="H10" s="61">
        <f>D13</f>
        <v>1</v>
      </c>
      <c r="J10" s="75"/>
      <c r="K10" s="76"/>
      <c r="M10" s="70" t="str">
        <f>C18</f>
        <v>Safety margin on losses</v>
      </c>
      <c r="N10" s="61">
        <f>D18</f>
        <v>1.5</v>
      </c>
      <c r="P10" s="68" t="str">
        <f>C8</f>
        <v>Rg,off (Ω)</v>
      </c>
      <c r="Q10" s="84">
        <f>D8</f>
        <v>10</v>
      </c>
    </row>
    <row r="11" spans="2:17" ht="15" thickBot="1" x14ac:dyDescent="0.4">
      <c r="B11" s="63"/>
      <c r="C11" s="36" t="s">
        <v>206</v>
      </c>
      <c r="D11" s="2" t="str">
        <f>HMI!E3</f>
        <v>Infineon 2EDL8024</v>
      </c>
      <c r="E11" s="65"/>
      <c r="G11" s="70" t="str">
        <f>C9</f>
        <v>Rg,on+off (Ω)</v>
      </c>
      <c r="H11" s="78">
        <f>D9</f>
        <v>3.3</v>
      </c>
      <c r="M11" s="87" t="s">
        <v>234</v>
      </c>
      <c r="N11" s="88">
        <f>N9*N10</f>
        <v>40.383359999999996</v>
      </c>
      <c r="P11" s="70" t="str">
        <f>C9</f>
        <v>Rg,on+off (Ω)</v>
      </c>
      <c r="Q11" s="61">
        <f>D9</f>
        <v>3.3</v>
      </c>
    </row>
    <row r="12" spans="2:17" x14ac:dyDescent="0.35">
      <c r="B12" s="63"/>
      <c r="C12" s="36" t="str">
        <f>DB_GD[[#Headers],[Rpu,hs (Ω)]]</f>
        <v>Rpu,hs (Ω)</v>
      </c>
      <c r="D12" s="2">
        <f>_xlfn.XLOOKUP(D11, DB_GD[Part], DB_GD[Rpu,hs (Ω)])</f>
        <v>1</v>
      </c>
      <c r="E12" s="65"/>
      <c r="G12" s="70" t="str">
        <f>C24</f>
        <v>Rg,int,max (Ω)</v>
      </c>
      <c r="H12" s="78">
        <f>D24</f>
        <v>1.6</v>
      </c>
      <c r="J12" s="68" t="str">
        <f>C23</f>
        <v>Vmiller (V)</v>
      </c>
      <c r="K12" s="69">
        <f>D23</f>
        <v>4</v>
      </c>
      <c r="M12" s="166"/>
      <c r="N12" s="167"/>
      <c r="P12" s="70" t="str">
        <f>P5</f>
        <v>Prg,mean (mW)</v>
      </c>
      <c r="Q12" s="85">
        <f>Q5</f>
        <v>31.235369063859579</v>
      </c>
    </row>
    <row r="13" spans="2:17" ht="15" thickBot="1" x14ac:dyDescent="0.4">
      <c r="B13" s="63"/>
      <c r="C13" s="36" t="str">
        <f>DB_GD[[#Headers],[Rpu,ls (Ω)]]</f>
        <v>Rpu,ls (Ω)</v>
      </c>
      <c r="D13" s="2">
        <f>_xlfn.XLOOKUP(D11, DB_GD[Part], DB_GD[Rpu,ls (Ω)])</f>
        <v>1</v>
      </c>
      <c r="E13" s="65"/>
      <c r="G13" s="79" t="s">
        <v>233</v>
      </c>
      <c r="H13" s="83">
        <f>(H10+H9)/2+H11+H12</f>
        <v>5.9</v>
      </c>
      <c r="J13" s="70" t="str">
        <f>G13</f>
        <v>Req,on (Ω)</v>
      </c>
      <c r="K13" s="78">
        <f>H13</f>
        <v>5.9</v>
      </c>
      <c r="M13" s="168"/>
      <c r="N13" s="169"/>
      <c r="P13" s="79" t="s">
        <v>314</v>
      </c>
      <c r="Q13" s="83">
        <f>0.5*(1+Q10/(Q10+Q11))*Q12</f>
        <v>27.360304480749178</v>
      </c>
    </row>
    <row r="14" spans="2:17" ht="15" thickBot="1" x14ac:dyDescent="0.4">
      <c r="B14" s="63"/>
      <c r="C14" s="36" t="str">
        <f>DB_GD[[#Headers],[Rpd,hs (Ω)]]</f>
        <v>Rpd,hs (Ω)</v>
      </c>
      <c r="D14" s="2">
        <f>_xlfn.XLOOKUP(D11, DB_GD[Part], DB_GD[Rpd,hs (Ω)])</f>
        <v>0.5</v>
      </c>
      <c r="E14" s="65"/>
      <c r="G14" s="109"/>
      <c r="H14" s="110"/>
      <c r="J14" s="70" t="str">
        <f>G22</f>
        <v>Req,off (Ω)</v>
      </c>
      <c r="K14" s="78">
        <f>H22</f>
        <v>4.5062030075187973</v>
      </c>
      <c r="P14" s="109"/>
      <c r="Q14" s="110"/>
    </row>
    <row r="15" spans="2:17" x14ac:dyDescent="0.35">
      <c r="B15" s="63"/>
      <c r="C15" s="36" t="str">
        <f>DB_GD[[#Headers],[Rpd,ls (Ω)]]</f>
        <v>Rpd,ls (Ω)</v>
      </c>
      <c r="D15" s="2">
        <f>_xlfn.XLOOKUP(D11, DB_GD[Part], DB_GD[Rpd,ls (Ω)])</f>
        <v>0.35</v>
      </c>
      <c r="E15" s="65"/>
      <c r="G15" s="111"/>
      <c r="H15" s="112"/>
      <c r="J15" s="73" t="s">
        <v>305</v>
      </c>
      <c r="K15" s="74">
        <f>K12/K13</f>
        <v>0.67796610169491522</v>
      </c>
      <c r="M15" s="68" t="str">
        <f>C5</f>
        <v>Dmax (%)</v>
      </c>
      <c r="N15" s="84">
        <f>D5</f>
        <v>90</v>
      </c>
      <c r="P15" s="111"/>
      <c r="Q15" s="112"/>
    </row>
    <row r="16" spans="2:17" ht="15" thickBot="1" x14ac:dyDescent="0.4">
      <c r="B16" s="63"/>
      <c r="C16" s="36" t="str">
        <f>HMI!E22</f>
        <v>Vboot,max (V)</v>
      </c>
      <c r="D16" s="2">
        <f>HMI!F22</f>
        <v>10.26</v>
      </c>
      <c r="E16" s="65"/>
      <c r="G16" s="113"/>
      <c r="H16" s="114"/>
      <c r="J16" s="87" t="s">
        <v>306</v>
      </c>
      <c r="K16" s="107">
        <f>K12/K14</f>
        <v>0.8876652901180494</v>
      </c>
      <c r="M16" s="70" t="str">
        <f>G9</f>
        <v>Rpu,hs (Ω)</v>
      </c>
      <c r="N16" s="61">
        <f>H9</f>
        <v>1</v>
      </c>
      <c r="P16" s="113"/>
      <c r="Q16" s="114"/>
    </row>
    <row r="17" spans="2:17" ht="15" thickBot="1" x14ac:dyDescent="0.4">
      <c r="B17" s="63"/>
      <c r="C17" s="36" t="str">
        <f>HMI!E24</f>
        <v>Cboot (nF)</v>
      </c>
      <c r="D17" s="2">
        <f>HMI!F24</f>
        <v>180</v>
      </c>
      <c r="E17" s="65"/>
      <c r="J17" s="71"/>
      <c r="K17" s="72"/>
      <c r="M17" s="70" t="str">
        <f>G10</f>
        <v>Rpu,ls (Ω)</v>
      </c>
      <c r="N17" s="61">
        <f>H10</f>
        <v>1</v>
      </c>
    </row>
    <row r="18" spans="2:17" x14ac:dyDescent="0.35">
      <c r="B18" s="63"/>
      <c r="C18" s="36" t="str">
        <f>HMI!E33</f>
        <v>Safety margin on losses</v>
      </c>
      <c r="D18" s="7">
        <f>HMI!F33</f>
        <v>1.5</v>
      </c>
      <c r="E18" s="66"/>
      <c r="G18" s="68" t="str">
        <f>C14</f>
        <v>Rpd,hs (Ω)</v>
      </c>
      <c r="H18" s="84">
        <f>D14</f>
        <v>0.5</v>
      </c>
      <c r="J18" s="71"/>
      <c r="K18" s="72"/>
      <c r="M18" s="70" t="str">
        <f>G18</f>
        <v>Rpd,hs (Ω)</v>
      </c>
      <c r="N18" s="61">
        <f>H18</f>
        <v>0.5</v>
      </c>
      <c r="P18" s="68" t="str">
        <f>P5</f>
        <v>Prg,mean (mW)</v>
      </c>
      <c r="Q18" s="69">
        <f>Q5</f>
        <v>31.235369063859579</v>
      </c>
    </row>
    <row r="19" spans="2:17" x14ac:dyDescent="0.35">
      <c r="B19" s="63"/>
      <c r="C19" s="158" t="s">
        <v>102</v>
      </c>
      <c r="D19" s="159"/>
      <c r="E19" s="63"/>
      <c r="G19" s="70" t="str">
        <f>C15</f>
        <v>Rpd,ls (Ω)</v>
      </c>
      <c r="H19" s="61">
        <f>D15</f>
        <v>0.35</v>
      </c>
      <c r="J19" s="71"/>
      <c r="K19" s="72"/>
      <c r="M19" s="70" t="str">
        <f>G19</f>
        <v>Rpd,ls (Ω)</v>
      </c>
      <c r="N19" s="61">
        <f>H19</f>
        <v>0.35</v>
      </c>
      <c r="P19" s="70" t="str">
        <f>P13</f>
        <v>Prg,on+off (mW)</v>
      </c>
      <c r="Q19" s="85">
        <f>Q13</f>
        <v>27.360304480749178</v>
      </c>
    </row>
    <row r="20" spans="2:17" ht="15" thickBot="1" x14ac:dyDescent="0.4">
      <c r="B20" s="63"/>
      <c r="C20" s="36" t="s">
        <v>206</v>
      </c>
      <c r="D20" s="2" t="str">
        <f>HMI!H4</f>
        <v>TI CSD18540Q5B</v>
      </c>
      <c r="E20" s="64"/>
      <c r="G20" s="70" t="str">
        <f>G4</f>
        <v>Rg,eq,off</v>
      </c>
      <c r="H20" s="78">
        <f>H4</f>
        <v>2.481203007518797</v>
      </c>
      <c r="J20" s="75"/>
      <c r="K20" s="76"/>
      <c r="M20" s="87" t="s">
        <v>311</v>
      </c>
      <c r="N20" s="89">
        <f>(N15%*(N17+N16)+(1-N15%)*(N18+N19))/4</f>
        <v>0.47125</v>
      </c>
      <c r="P20" s="79" t="s">
        <v>313</v>
      </c>
      <c r="Q20" s="89">
        <f>Q18-Q19</f>
        <v>3.8750645831104009</v>
      </c>
    </row>
    <row r="21" spans="2:17" ht="15" thickBot="1" x14ac:dyDescent="0.4">
      <c r="B21" s="63"/>
      <c r="C21" s="36" t="str">
        <f>DB_Mostfet[[#Headers],[Qg,typ @ 10V (nC)]]</f>
        <v>Qg,typ @ 10V (nC)</v>
      </c>
      <c r="D21" s="2">
        <f>_xlfn.XLOOKUP(D20, DB_Mostfet[Part],DB_Mostfet[Qg,typ @ 10V (nC)])</f>
        <v>41</v>
      </c>
      <c r="E21" s="65"/>
      <c r="G21" s="70" t="str">
        <f>C24</f>
        <v>Rg,int,max (Ω)</v>
      </c>
      <c r="H21" s="78">
        <f>D24</f>
        <v>1.6</v>
      </c>
      <c r="M21" s="160"/>
      <c r="N21" s="161"/>
      <c r="P21" s="109"/>
      <c r="Q21" s="110"/>
    </row>
    <row r="22" spans="2:17" ht="15" thickBot="1" x14ac:dyDescent="0.4">
      <c r="B22" s="63"/>
      <c r="C22" s="36" t="str">
        <f>DB_Mostfet[[#Headers],[Qgd,typ (nC)]]</f>
        <v>Qgd,typ (nC)</v>
      </c>
      <c r="D22" s="2">
        <f>_xlfn.XLOOKUP(D20, DB_Mostfet[Part],DB_Mostfet[Qgd,typ (nC)])</f>
        <v>6.7</v>
      </c>
      <c r="E22" s="64"/>
      <c r="G22" s="79" t="s">
        <v>307</v>
      </c>
      <c r="H22" s="83">
        <f>(H18+H19)/2+H20+H21</f>
        <v>4.5062030075187973</v>
      </c>
      <c r="J22" s="68" t="str">
        <f>C22</f>
        <v>Qgd,typ (nC)</v>
      </c>
      <c r="K22" s="90">
        <f>D22</f>
        <v>6.7</v>
      </c>
      <c r="M22" s="162"/>
      <c r="N22" s="163"/>
      <c r="P22" s="113"/>
      <c r="Q22" s="114"/>
    </row>
    <row r="23" spans="2:17" ht="15" thickBot="1" x14ac:dyDescent="0.4">
      <c r="B23" s="63"/>
      <c r="C23" s="36" t="str">
        <f>DB_Mostfet[[#Headers],[Vmiller (V)]]</f>
        <v>Vmiller (V)</v>
      </c>
      <c r="D23" s="2">
        <f>_xlfn.XLOOKUP(D20, DB_Mostfet[Part],DB_Mostfet[Vmiller (V)])</f>
        <v>4</v>
      </c>
      <c r="E23" s="64"/>
      <c r="G23" s="109"/>
      <c r="H23" s="110"/>
      <c r="J23" s="70" t="str">
        <f>J15</f>
        <v>Imiller,on (A)</v>
      </c>
      <c r="K23" s="74">
        <f>K15</f>
        <v>0.67796610169491522</v>
      </c>
      <c r="M23" s="164"/>
      <c r="N23" s="165"/>
    </row>
    <row r="24" spans="2:17" ht="15" thickBot="1" x14ac:dyDescent="0.4">
      <c r="B24" s="63"/>
      <c r="C24" s="36" t="str">
        <f>DB_Mostfet[[#Headers],[Rg,int,max (Ω)]]</f>
        <v>Rg,int,max (Ω)</v>
      </c>
      <c r="D24" s="2">
        <f>_xlfn.XLOOKUP(D20, DB_Mostfet[Part],DB_Mostfet[Rg,int,max (Ω)])</f>
        <v>1.6</v>
      </c>
      <c r="E24" s="65"/>
      <c r="G24" s="111"/>
      <c r="H24" s="112"/>
      <c r="J24" s="70" t="str">
        <f>J16</f>
        <v>Imiller,off (A)</v>
      </c>
      <c r="K24" s="74">
        <f>K16</f>
        <v>0.8876652901180494</v>
      </c>
      <c r="P24" s="68" t="str">
        <f>M11</f>
        <v>Pg,loss (mW)</v>
      </c>
      <c r="Q24" s="69">
        <f>N11</f>
        <v>40.383359999999996</v>
      </c>
    </row>
    <row r="25" spans="2:17" ht="15" thickBot="1" x14ac:dyDescent="0.4">
      <c r="B25" s="63"/>
      <c r="C25" s="63"/>
      <c r="D25" s="63"/>
      <c r="E25" s="65"/>
      <c r="G25" s="113"/>
      <c r="H25" s="114"/>
      <c r="J25" s="73" t="s">
        <v>309</v>
      </c>
      <c r="K25" s="74">
        <f>K22/K23</f>
        <v>9.8825000000000003</v>
      </c>
      <c r="M25" s="68" t="str">
        <f>M15</f>
        <v>Dmax (%)</v>
      </c>
      <c r="N25" s="84">
        <f>N15</f>
        <v>90</v>
      </c>
      <c r="P25" s="70" t="str">
        <f>P5</f>
        <v>Prg,mean (mW)</v>
      </c>
      <c r="Q25" s="85">
        <f>Q5</f>
        <v>31.235369063859579</v>
      </c>
    </row>
    <row r="26" spans="2:17" ht="15" thickBot="1" x14ac:dyDescent="0.4">
      <c r="J26" s="87" t="s">
        <v>308</v>
      </c>
      <c r="K26" s="107">
        <f>K22/K24</f>
        <v>7.5478900375939855</v>
      </c>
      <c r="M26" s="70" t="str">
        <f>G3</f>
        <v>Rg,on+off (Ω)</v>
      </c>
      <c r="N26" s="61">
        <f>H3</f>
        <v>3.3</v>
      </c>
      <c r="P26" s="87" t="s">
        <v>312</v>
      </c>
      <c r="Q26" s="88">
        <f>Q24-Q25</f>
        <v>9.1479909361404168</v>
      </c>
    </row>
    <row r="27" spans="2:17" x14ac:dyDescent="0.35">
      <c r="J27" s="71"/>
      <c r="K27" s="72"/>
      <c r="M27" s="70" t="str">
        <f>G4</f>
        <v>Rg,eq,off</v>
      </c>
      <c r="N27" s="78">
        <f>H4</f>
        <v>2.481203007518797</v>
      </c>
      <c r="P27" s="109"/>
      <c r="Q27" s="110"/>
    </row>
    <row r="28" spans="2:17" ht="15" thickBot="1" x14ac:dyDescent="0.4">
      <c r="J28" s="71"/>
      <c r="K28" s="72"/>
      <c r="M28" s="87" t="s">
        <v>237</v>
      </c>
      <c r="N28" s="89">
        <f>(N25%*N26+(1-N25%)*N27)/2</f>
        <v>1.6090601503759396</v>
      </c>
      <c r="P28" s="113"/>
      <c r="Q28" s="114"/>
    </row>
    <row r="29" spans="2:17" x14ac:dyDescent="0.35">
      <c r="J29" s="71"/>
      <c r="K29" s="72"/>
      <c r="M29" s="109"/>
      <c r="N29" s="110"/>
    </row>
    <row r="30" spans="2:17" ht="15" thickBot="1" x14ac:dyDescent="0.4">
      <c r="J30" s="75"/>
      <c r="K30" s="76"/>
      <c r="M30" s="111"/>
      <c r="N30" s="112"/>
    </row>
    <row r="31" spans="2:17" ht="15" thickBot="1" x14ac:dyDescent="0.4">
      <c r="M31" s="113"/>
      <c r="N31" s="114"/>
    </row>
  </sheetData>
  <mergeCells count="8">
    <mergeCell ref="G5:H7"/>
    <mergeCell ref="M21:N23"/>
    <mergeCell ref="M12:N13"/>
    <mergeCell ref="M6:N7"/>
    <mergeCell ref="C3:D3"/>
    <mergeCell ref="C7:D7"/>
    <mergeCell ref="C10:D10"/>
    <mergeCell ref="C19:D1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7FA7-98B1-43B3-8996-93B4082609D4}">
  <sheetPr codeName="Sheet5">
    <tabColor rgb="FF00B0F0"/>
  </sheetPr>
  <dimension ref="B2:S42"/>
  <sheetViews>
    <sheetView zoomScale="85" zoomScaleNormal="85" workbookViewId="0">
      <selection activeCell="E4" sqref="E4"/>
    </sheetView>
  </sheetViews>
  <sheetFormatPr defaultColWidth="10.90625" defaultRowHeight="14.5" x14ac:dyDescent="0.35"/>
  <cols>
    <col min="1" max="1" width="3.453125" customWidth="1"/>
    <col min="2" max="2" width="13.453125" customWidth="1"/>
    <col min="3" max="3" width="12.26953125" bestFit="1" customWidth="1"/>
    <col min="4" max="4" width="11.7265625" customWidth="1"/>
    <col min="5" max="5" width="12.36328125" customWidth="1"/>
    <col min="6" max="6" width="12.7265625" bestFit="1" customWidth="1"/>
    <col min="7" max="7" width="16.90625" bestFit="1" customWidth="1"/>
    <col min="8" max="8" width="14.54296875" bestFit="1" customWidth="1"/>
    <col min="9" max="9" width="19.08984375" customWidth="1"/>
    <col min="10" max="10" width="17.453125" bestFit="1" customWidth="1"/>
    <col min="11" max="11" width="20" customWidth="1"/>
    <col min="12" max="12" width="5.453125" customWidth="1"/>
    <col min="13" max="13" width="25.453125" customWidth="1"/>
    <col min="14" max="14" width="13.36328125" bestFit="1" customWidth="1"/>
    <col min="15" max="15" width="6" bestFit="1" customWidth="1"/>
    <col min="16" max="16" width="2.26953125" customWidth="1"/>
    <col min="17" max="17" width="22" customWidth="1"/>
    <col min="19" max="19" width="6.08984375" bestFit="1" customWidth="1"/>
  </cols>
  <sheetData>
    <row r="2" spans="2:19" x14ac:dyDescent="0.35">
      <c r="B2" s="173" t="s">
        <v>55</v>
      </c>
      <c r="C2" s="174"/>
      <c r="D2" s="174"/>
      <c r="E2" s="174"/>
      <c r="F2" s="174"/>
      <c r="G2" s="174"/>
      <c r="H2" s="174"/>
      <c r="I2" s="174"/>
      <c r="J2" s="174"/>
      <c r="K2" s="175"/>
      <c r="M2" s="8" t="str">
        <f>HMI!B13</f>
        <v>Vph spike (V) @ disarm</v>
      </c>
      <c r="N2" s="2">
        <f>HMI!C13</f>
        <v>28</v>
      </c>
      <c r="O2" s="3" t="s">
        <v>2</v>
      </c>
      <c r="Q2" s="8" t="s">
        <v>25</v>
      </c>
      <c r="R2" s="2">
        <f>HMI!U11</f>
        <v>0</v>
      </c>
      <c r="S2" s="3" t="s">
        <v>26</v>
      </c>
    </row>
    <row r="3" spans="2:19" x14ac:dyDescent="0.35">
      <c r="B3" s="4" t="s">
        <v>0</v>
      </c>
      <c r="C3" s="4" t="s">
        <v>1</v>
      </c>
      <c r="D3" s="4" t="s">
        <v>3</v>
      </c>
      <c r="E3" s="4" t="s">
        <v>4</v>
      </c>
      <c r="F3" s="4" t="s">
        <v>61</v>
      </c>
      <c r="G3" s="4" t="s">
        <v>60</v>
      </c>
      <c r="H3" s="4" t="s">
        <v>35</v>
      </c>
      <c r="I3" s="4" t="s">
        <v>10</v>
      </c>
      <c r="J3" s="4" t="s">
        <v>42</v>
      </c>
      <c r="K3" s="4" t="s">
        <v>41</v>
      </c>
      <c r="M3" s="8" t="str">
        <f>HMI!B9</f>
        <v>Vbat,typ (V)</v>
      </c>
      <c r="N3" s="7">
        <f>HMI!C9</f>
        <v>25.200000000000003</v>
      </c>
      <c r="O3" s="3" t="s">
        <v>2</v>
      </c>
      <c r="Q3" s="8" t="s">
        <v>25</v>
      </c>
      <c r="R3" s="2">
        <f>2^R2</f>
        <v>1</v>
      </c>
      <c r="S3" s="3" t="s">
        <v>27</v>
      </c>
    </row>
    <row r="4" spans="2:19" x14ac:dyDescent="0.35">
      <c r="B4" s="5">
        <v>0.1</v>
      </c>
      <c r="C4" s="5" t="e">
        <f t="shared" ref="C4:C22" si="0">B4/$N$5</f>
        <v>#DIV/0!</v>
      </c>
      <c r="D4" s="41" t="e">
        <f>B4*C4/(B4+C4)+$N$17/1000</f>
        <v>#DIV/0!</v>
      </c>
      <c r="E4" s="7" t="e">
        <f>$N$4/D4</f>
        <v>#DIV/0!</v>
      </c>
      <c r="F4" s="6" t="e">
        <f>IF($N$9=0,$N$23*($N$8+$N$7)*D4,$N$23*(0.01)*$N$7)</f>
        <v>#N/A</v>
      </c>
      <c r="G4" s="6" t="e">
        <f>$N$9*(D4+$N$17/1000)*$N$14</f>
        <v>#DIV/0!</v>
      </c>
      <c r="H4" s="6" t="e">
        <f>1/(2*PI()*($N$8+$N$7+$N$9)*D4)*1000</f>
        <v>#N/A</v>
      </c>
      <c r="I4" s="7" t="e">
        <f>$N$3*$N$3/(C4+B4)</f>
        <v>#DIV/0!</v>
      </c>
      <c r="J4" s="7" t="e">
        <f t="shared" ref="J4:J33" si="1">I4*$R$10/1000</f>
        <v>#DIV/0!</v>
      </c>
      <c r="K4" s="7" t="e">
        <f t="shared" ref="K4:K33" si="2">I4*$R$11/1000</f>
        <v>#DIV/0!</v>
      </c>
      <c r="M4" s="8" t="s">
        <v>66</v>
      </c>
      <c r="N4" s="2">
        <f>HMI!U5</f>
        <v>0</v>
      </c>
      <c r="O4" s="3" t="s">
        <v>2</v>
      </c>
      <c r="Q4" s="8" t="s">
        <v>25</v>
      </c>
      <c r="R4" s="16">
        <f>N2/R3</f>
        <v>28</v>
      </c>
      <c r="S4" s="3" t="s">
        <v>28</v>
      </c>
    </row>
    <row r="5" spans="2:19" x14ac:dyDescent="0.35">
      <c r="B5" s="5">
        <v>0.2</v>
      </c>
      <c r="C5" s="5" t="e">
        <f t="shared" si="0"/>
        <v>#DIV/0!</v>
      </c>
      <c r="D5" s="6" t="e">
        <f t="shared" ref="D5:D33" si="3">B5*C5/(B5+C5)+$N$17/1000</f>
        <v>#DIV/0!</v>
      </c>
      <c r="E5" s="7" t="e">
        <f t="shared" ref="E5:E22" si="4">$N$4/D5</f>
        <v>#DIV/0!</v>
      </c>
      <c r="F5" s="6" t="e">
        <f t="shared" ref="F5:F33" si="5">IF($N$9=0,$N$23*($N$8+$N$7)*D5,$N$23*(0.1)*$N$7)</f>
        <v>#N/A</v>
      </c>
      <c r="G5" s="6" t="e">
        <f t="shared" ref="G5:G35" si="6">$N$9*(D5+$N$17/1000)*$N$14</f>
        <v>#DIV/0!</v>
      </c>
      <c r="H5" s="6" t="e">
        <f t="shared" ref="H5:H33" si="7">1/(2*PI()*($N$8+$N$7+$N$9)*D5)*1000</f>
        <v>#N/A</v>
      </c>
      <c r="I5" s="7" t="e">
        <f t="shared" ref="I5:I13" si="8">$N$3*$N$3/(C5+B5)</f>
        <v>#DIV/0!</v>
      </c>
      <c r="J5" s="7" t="e">
        <f t="shared" si="1"/>
        <v>#DIV/0!</v>
      </c>
      <c r="K5" s="7" t="e">
        <f t="shared" si="2"/>
        <v>#DIV/0!</v>
      </c>
      <c r="M5" s="8" t="s">
        <v>5</v>
      </c>
      <c r="N5" s="5">
        <f>N4/(N2-N4)</f>
        <v>0</v>
      </c>
      <c r="O5" s="3" t="s">
        <v>6</v>
      </c>
      <c r="Q5" s="8" t="s">
        <v>29</v>
      </c>
      <c r="R5" s="9">
        <f>N3/R4</f>
        <v>0.90000000000000013</v>
      </c>
      <c r="S5" s="3" t="s">
        <v>27</v>
      </c>
    </row>
    <row r="6" spans="2:19" x14ac:dyDescent="0.35">
      <c r="B6" s="5">
        <v>0.3</v>
      </c>
      <c r="C6" s="5" t="e">
        <f t="shared" si="0"/>
        <v>#DIV/0!</v>
      </c>
      <c r="D6" s="6" t="e">
        <f t="shared" si="3"/>
        <v>#DIV/0!</v>
      </c>
      <c r="E6" s="7" t="e">
        <f t="shared" si="4"/>
        <v>#DIV/0!</v>
      </c>
      <c r="F6" s="6" t="e">
        <f t="shared" si="5"/>
        <v>#N/A</v>
      </c>
      <c r="G6" s="6" t="e">
        <f t="shared" si="6"/>
        <v>#DIV/0!</v>
      </c>
      <c r="H6" s="6" t="e">
        <f t="shared" si="7"/>
        <v>#N/A</v>
      </c>
      <c r="I6" s="7" t="e">
        <f t="shared" si="8"/>
        <v>#DIV/0!</v>
      </c>
      <c r="J6" s="7" t="e">
        <f t="shared" si="1"/>
        <v>#DIV/0!</v>
      </c>
      <c r="K6" s="7" t="e">
        <f t="shared" si="2"/>
        <v>#DIV/0!</v>
      </c>
      <c r="N6" s="1"/>
      <c r="Q6" s="8" t="s">
        <v>70</v>
      </c>
      <c r="R6" s="7" t="e">
        <f>N22</f>
        <v>#DIV/0!</v>
      </c>
      <c r="S6" s="3" t="s">
        <v>15</v>
      </c>
    </row>
    <row r="7" spans="2:19" x14ac:dyDescent="0.35">
      <c r="B7" s="5">
        <v>0.4</v>
      </c>
      <c r="C7" s="5" t="e">
        <f t="shared" si="0"/>
        <v>#DIV/0!</v>
      </c>
      <c r="D7" s="6" t="e">
        <f t="shared" si="3"/>
        <v>#DIV/0!</v>
      </c>
      <c r="E7" s="7" t="e">
        <f t="shared" si="4"/>
        <v>#DIV/0!</v>
      </c>
      <c r="F7" s="6" t="e">
        <f t="shared" si="5"/>
        <v>#N/A</v>
      </c>
      <c r="G7" s="6" t="e">
        <f t="shared" si="6"/>
        <v>#DIV/0!</v>
      </c>
      <c r="H7" s="6" t="e">
        <f t="shared" si="7"/>
        <v>#N/A</v>
      </c>
      <c r="I7" s="7" t="e">
        <f t="shared" si="8"/>
        <v>#DIV/0!</v>
      </c>
      <c r="J7" s="7" t="e">
        <f t="shared" si="1"/>
        <v>#DIV/0!</v>
      </c>
      <c r="K7" s="7" t="e">
        <f t="shared" si="2"/>
        <v>#DIV/0!</v>
      </c>
      <c r="M7" s="8" t="s">
        <v>7</v>
      </c>
      <c r="N7" s="2" t="e">
        <f>_xlfn.XLOOKUP(HMI!T4, DB_ADC[Name], DB_ADC[Vmax (V)])</f>
        <v>#N/A</v>
      </c>
      <c r="O7" s="3" t="s">
        <v>9</v>
      </c>
      <c r="Q7" s="8" t="s">
        <v>69</v>
      </c>
      <c r="R7" s="9" t="e">
        <f>R2/N21*1000</f>
        <v>#DIV/0!</v>
      </c>
      <c r="S7" s="3" t="s">
        <v>15</v>
      </c>
    </row>
    <row r="8" spans="2:19" x14ac:dyDescent="0.35">
      <c r="B8" s="5">
        <v>0.5</v>
      </c>
      <c r="C8" s="5" t="e">
        <f t="shared" si="0"/>
        <v>#DIV/0!</v>
      </c>
      <c r="D8" s="6" t="e">
        <f t="shared" si="3"/>
        <v>#DIV/0!</v>
      </c>
      <c r="E8" s="7" t="e">
        <f t="shared" si="4"/>
        <v>#DIV/0!</v>
      </c>
      <c r="F8" s="6" t="e">
        <f t="shared" si="5"/>
        <v>#N/A</v>
      </c>
      <c r="G8" s="6" t="e">
        <f t="shared" si="6"/>
        <v>#DIV/0!</v>
      </c>
      <c r="H8" s="6" t="e">
        <f t="shared" si="7"/>
        <v>#N/A</v>
      </c>
      <c r="I8" s="7" t="e">
        <f t="shared" si="8"/>
        <v>#DIV/0!</v>
      </c>
      <c r="J8" s="7" t="e">
        <f t="shared" si="1"/>
        <v>#DIV/0!</v>
      </c>
      <c r="K8" s="7" t="e">
        <f t="shared" si="2"/>
        <v>#DIV/0!</v>
      </c>
      <c r="M8" s="8" t="s">
        <v>8</v>
      </c>
      <c r="N8" s="2">
        <v>0</v>
      </c>
      <c r="O8" s="3" t="s">
        <v>9</v>
      </c>
      <c r="Q8" s="8" t="s">
        <v>71</v>
      </c>
      <c r="R8" s="7" t="e">
        <f>R7+R6</f>
        <v>#DIV/0!</v>
      </c>
      <c r="S8" s="3" t="s">
        <v>15</v>
      </c>
    </row>
    <row r="9" spans="2:19" x14ac:dyDescent="0.35">
      <c r="B9" s="5">
        <v>0.6</v>
      </c>
      <c r="C9" s="5" t="e">
        <f t="shared" si="0"/>
        <v>#DIV/0!</v>
      </c>
      <c r="D9" s="6" t="e">
        <f t="shared" si="3"/>
        <v>#DIV/0!</v>
      </c>
      <c r="E9" s="7" t="e">
        <f t="shared" si="4"/>
        <v>#DIV/0!</v>
      </c>
      <c r="F9" s="6" t="e">
        <f t="shared" si="5"/>
        <v>#N/A</v>
      </c>
      <c r="G9" s="6" t="e">
        <f t="shared" si="6"/>
        <v>#DIV/0!</v>
      </c>
      <c r="H9" s="6" t="e">
        <f t="shared" si="7"/>
        <v>#N/A</v>
      </c>
      <c r="I9" s="7" t="e">
        <f t="shared" si="8"/>
        <v>#DIV/0!</v>
      </c>
      <c r="J9" s="7" t="e">
        <f t="shared" si="1"/>
        <v>#DIV/0!</v>
      </c>
      <c r="K9" s="7" t="e">
        <f t="shared" si="2"/>
        <v>#DIV/0!</v>
      </c>
      <c r="M9" s="8" t="s">
        <v>36</v>
      </c>
      <c r="N9" s="17">
        <f>HMI!U20</f>
        <v>0</v>
      </c>
      <c r="O9" s="3" t="s">
        <v>9</v>
      </c>
    </row>
    <row r="10" spans="2:19" x14ac:dyDescent="0.35">
      <c r="B10" s="5">
        <v>0.7</v>
      </c>
      <c r="C10" s="5" t="e">
        <f t="shared" si="0"/>
        <v>#DIV/0!</v>
      </c>
      <c r="D10" s="6" t="e">
        <f t="shared" si="3"/>
        <v>#DIV/0!</v>
      </c>
      <c r="E10" s="7" t="e">
        <f t="shared" si="4"/>
        <v>#DIV/0!</v>
      </c>
      <c r="F10" s="6" t="e">
        <f t="shared" si="5"/>
        <v>#N/A</v>
      </c>
      <c r="G10" s="6" t="e">
        <f t="shared" si="6"/>
        <v>#DIV/0!</v>
      </c>
      <c r="H10" s="6" t="e">
        <f t="shared" si="7"/>
        <v>#N/A</v>
      </c>
      <c r="I10" s="7" t="e">
        <f t="shared" si="8"/>
        <v>#DIV/0!</v>
      </c>
      <c r="J10" s="7" t="e">
        <f t="shared" si="1"/>
        <v>#DIV/0!</v>
      </c>
      <c r="K10" s="7" t="e">
        <f t="shared" si="2"/>
        <v>#DIV/0!</v>
      </c>
      <c r="M10" s="8" t="s">
        <v>196</v>
      </c>
      <c r="N10" s="2">
        <f>HMI!C7</f>
        <v>64</v>
      </c>
      <c r="O10" s="3" t="s">
        <v>24</v>
      </c>
      <c r="Q10" s="8" t="s">
        <v>43</v>
      </c>
      <c r="R10" s="2">
        <v>80</v>
      </c>
      <c r="S10" s="3" t="s">
        <v>32</v>
      </c>
    </row>
    <row r="11" spans="2:19" x14ac:dyDescent="0.35">
      <c r="B11" s="5">
        <v>0.8</v>
      </c>
      <c r="C11" s="5" t="e">
        <f t="shared" si="0"/>
        <v>#DIV/0!</v>
      </c>
      <c r="D11" s="6" t="e">
        <f t="shared" si="3"/>
        <v>#DIV/0!</v>
      </c>
      <c r="E11" s="7" t="e">
        <f t="shared" si="4"/>
        <v>#DIV/0!</v>
      </c>
      <c r="F11" s="6" t="e">
        <f t="shared" si="5"/>
        <v>#N/A</v>
      </c>
      <c r="G11" s="6" t="e">
        <f t="shared" si="6"/>
        <v>#DIV/0!</v>
      </c>
      <c r="H11" s="6" t="e">
        <f t="shared" si="7"/>
        <v>#N/A</v>
      </c>
      <c r="I11" s="7" t="e">
        <f t="shared" si="8"/>
        <v>#DIV/0!</v>
      </c>
      <c r="J11" s="7" t="e">
        <f t="shared" si="1"/>
        <v>#DIV/0!</v>
      </c>
      <c r="K11" s="7" t="e">
        <f t="shared" si="2"/>
        <v>#DIV/0!</v>
      </c>
      <c r="M11" s="8" t="s">
        <v>44</v>
      </c>
      <c r="N11" s="2">
        <v>5</v>
      </c>
      <c r="O11" s="3" t="s">
        <v>6</v>
      </c>
      <c r="Q11" s="8" t="s">
        <v>40</v>
      </c>
      <c r="R11" s="2">
        <v>150</v>
      </c>
      <c r="S11" s="3" t="s">
        <v>32</v>
      </c>
    </row>
    <row r="12" spans="2:19" x14ac:dyDescent="0.35">
      <c r="B12" s="5">
        <v>0.9</v>
      </c>
      <c r="C12" s="5" t="e">
        <f t="shared" si="0"/>
        <v>#DIV/0!</v>
      </c>
      <c r="D12" s="6" t="e">
        <f t="shared" si="3"/>
        <v>#DIV/0!</v>
      </c>
      <c r="E12" s="7" t="e">
        <f t="shared" si="4"/>
        <v>#DIV/0!</v>
      </c>
      <c r="F12" s="6" t="e">
        <f t="shared" si="5"/>
        <v>#N/A</v>
      </c>
      <c r="G12" s="6" t="e">
        <f t="shared" si="6"/>
        <v>#DIV/0!</v>
      </c>
      <c r="H12" s="6" t="e">
        <f t="shared" si="7"/>
        <v>#N/A</v>
      </c>
      <c r="I12" s="7" t="e">
        <f t="shared" si="8"/>
        <v>#DIV/0!</v>
      </c>
      <c r="J12" s="7" t="e">
        <f t="shared" si="1"/>
        <v>#DIV/0!</v>
      </c>
      <c r="K12" s="7" t="e">
        <f t="shared" si="2"/>
        <v>#DIV/0!</v>
      </c>
      <c r="M12" s="8" t="s">
        <v>45</v>
      </c>
      <c r="N12" s="6">
        <f>(1-1/SQRT(1+(N10/N11/N10)^2))*100</f>
        <v>1.9419324309079888</v>
      </c>
      <c r="O12" s="3" t="s">
        <v>31</v>
      </c>
      <c r="Q12" s="8" t="s">
        <v>34</v>
      </c>
      <c r="R12" s="17">
        <v>80</v>
      </c>
      <c r="S12" s="18" t="s">
        <v>33</v>
      </c>
    </row>
    <row r="13" spans="2:19" x14ac:dyDescent="0.35">
      <c r="B13" s="5">
        <v>1</v>
      </c>
      <c r="C13" s="5" t="e">
        <f t="shared" si="0"/>
        <v>#DIV/0!</v>
      </c>
      <c r="D13" s="6" t="e">
        <f t="shared" si="3"/>
        <v>#DIV/0!</v>
      </c>
      <c r="E13" s="7" t="e">
        <f t="shared" si="4"/>
        <v>#DIV/0!</v>
      </c>
      <c r="F13" s="6" t="e">
        <f t="shared" si="5"/>
        <v>#N/A</v>
      </c>
      <c r="G13" s="6" t="e">
        <f t="shared" si="6"/>
        <v>#DIV/0!</v>
      </c>
      <c r="H13" s="6" t="e">
        <f t="shared" si="7"/>
        <v>#N/A</v>
      </c>
      <c r="I13" s="7" t="e">
        <f t="shared" si="8"/>
        <v>#DIV/0!</v>
      </c>
      <c r="J13" s="7" t="e">
        <f t="shared" si="1"/>
        <v>#DIV/0!</v>
      </c>
      <c r="K13" s="7" t="e">
        <f t="shared" si="2"/>
        <v>#DIV/0!</v>
      </c>
      <c r="M13" s="8" t="s">
        <v>46</v>
      </c>
      <c r="N13" s="9">
        <f>ATAN(N10/N11/N10)/PI()*180</f>
        <v>11.309932474020215</v>
      </c>
      <c r="O13" s="3" t="s">
        <v>47</v>
      </c>
    </row>
    <row r="14" spans="2:19" x14ac:dyDescent="0.35">
      <c r="B14" s="5">
        <v>1.1000000000000001</v>
      </c>
      <c r="C14" s="5" t="e">
        <f t="shared" si="0"/>
        <v>#DIV/0!</v>
      </c>
      <c r="D14" s="6" t="e">
        <f t="shared" si="3"/>
        <v>#DIV/0!</v>
      </c>
      <c r="E14" s="7" t="e">
        <f t="shared" si="4"/>
        <v>#DIV/0!</v>
      </c>
      <c r="F14" s="6" t="e">
        <f t="shared" si="5"/>
        <v>#N/A</v>
      </c>
      <c r="G14" s="6" t="e">
        <f t="shared" si="6"/>
        <v>#DIV/0!</v>
      </c>
      <c r="H14" s="6" t="e">
        <f t="shared" si="7"/>
        <v>#N/A</v>
      </c>
      <c r="I14" s="7" t="e">
        <f t="shared" ref="I14:I21" si="9">$N$3*$N$3/(C14+B14)</f>
        <v>#DIV/0!</v>
      </c>
      <c r="J14" s="7" t="e">
        <f t="shared" si="1"/>
        <v>#DIV/0!</v>
      </c>
      <c r="K14" s="7" t="e">
        <f t="shared" si="2"/>
        <v>#DIV/0!</v>
      </c>
      <c r="M14" s="8" t="s">
        <v>62</v>
      </c>
      <c r="N14" s="2">
        <f>N23</f>
        <v>0</v>
      </c>
      <c r="O14" s="3" t="s">
        <v>6</v>
      </c>
      <c r="Q14" t="s">
        <v>17</v>
      </c>
    </row>
    <row r="15" spans="2:19" x14ac:dyDescent="0.35">
      <c r="B15" s="5">
        <v>1.2</v>
      </c>
      <c r="C15" s="5" t="e">
        <f t="shared" si="0"/>
        <v>#DIV/0!</v>
      </c>
      <c r="D15" s="6" t="e">
        <f t="shared" si="3"/>
        <v>#DIV/0!</v>
      </c>
      <c r="E15" s="7" t="e">
        <f t="shared" si="4"/>
        <v>#DIV/0!</v>
      </c>
      <c r="F15" s="6" t="e">
        <f t="shared" si="5"/>
        <v>#N/A</v>
      </c>
      <c r="G15" s="6" t="e">
        <f t="shared" si="6"/>
        <v>#DIV/0!</v>
      </c>
      <c r="H15" s="6" t="e">
        <f t="shared" si="7"/>
        <v>#N/A</v>
      </c>
      <c r="I15" s="7" t="e">
        <f t="shared" si="9"/>
        <v>#DIV/0!</v>
      </c>
      <c r="J15" s="7" t="e">
        <f t="shared" si="1"/>
        <v>#DIV/0!</v>
      </c>
      <c r="K15" s="7" t="e">
        <f t="shared" si="2"/>
        <v>#DIV/0!</v>
      </c>
      <c r="M15" s="8" t="s">
        <v>30</v>
      </c>
      <c r="N15" s="5">
        <f>(EXP(-N14))*100</f>
        <v>100</v>
      </c>
      <c r="O15" s="3" t="s">
        <v>31</v>
      </c>
      <c r="Q15" t="s">
        <v>18</v>
      </c>
    </row>
    <row r="16" spans="2:19" x14ac:dyDescent="0.35">
      <c r="B16" s="5">
        <v>1.3</v>
      </c>
      <c r="C16" s="5" t="e">
        <f t="shared" si="0"/>
        <v>#DIV/0!</v>
      </c>
      <c r="D16" s="6" t="e">
        <f t="shared" si="3"/>
        <v>#DIV/0!</v>
      </c>
      <c r="E16" s="7" t="e">
        <f t="shared" si="4"/>
        <v>#DIV/0!</v>
      </c>
      <c r="F16" s="6" t="e">
        <f t="shared" si="5"/>
        <v>#N/A</v>
      </c>
      <c r="G16" s="6" t="e">
        <f t="shared" si="6"/>
        <v>#DIV/0!</v>
      </c>
      <c r="H16" s="6" t="e">
        <f t="shared" si="7"/>
        <v>#N/A</v>
      </c>
      <c r="I16" s="7" t="e">
        <f t="shared" si="9"/>
        <v>#DIV/0!</v>
      </c>
      <c r="J16" s="7" t="e">
        <f t="shared" si="1"/>
        <v>#DIV/0!</v>
      </c>
      <c r="K16" s="7" t="e">
        <f t="shared" si="2"/>
        <v>#DIV/0!</v>
      </c>
      <c r="M16" s="8" t="s">
        <v>64</v>
      </c>
      <c r="N16" s="2">
        <f>HMI!C20</f>
        <v>480</v>
      </c>
      <c r="O16" s="3" t="s">
        <v>15</v>
      </c>
      <c r="Q16" s="10" t="s">
        <v>22</v>
      </c>
    </row>
    <row r="17" spans="2:17" x14ac:dyDescent="0.35">
      <c r="B17" s="5">
        <v>1.4</v>
      </c>
      <c r="C17" s="5" t="e">
        <f t="shared" si="0"/>
        <v>#DIV/0!</v>
      </c>
      <c r="D17" s="6" t="e">
        <f t="shared" si="3"/>
        <v>#DIV/0!</v>
      </c>
      <c r="E17" s="7" t="e">
        <f t="shared" si="4"/>
        <v>#DIV/0!</v>
      </c>
      <c r="F17" s="6" t="e">
        <f t="shared" si="5"/>
        <v>#N/A</v>
      </c>
      <c r="G17" s="6" t="e">
        <f t="shared" si="6"/>
        <v>#DIV/0!</v>
      </c>
      <c r="H17" s="6" t="e">
        <f t="shared" si="7"/>
        <v>#N/A</v>
      </c>
      <c r="I17" s="7" t="e">
        <f t="shared" si="9"/>
        <v>#DIV/0!</v>
      </c>
      <c r="J17" s="7" t="e">
        <f t="shared" si="1"/>
        <v>#DIV/0!</v>
      </c>
      <c r="K17" s="7" t="e">
        <f t="shared" si="2"/>
        <v>#DIV/0!</v>
      </c>
      <c r="M17" s="8" t="s">
        <v>67</v>
      </c>
      <c r="N17" s="2">
        <f>Radc</f>
        <v>0</v>
      </c>
      <c r="O17" s="3" t="s">
        <v>68</v>
      </c>
    </row>
    <row r="18" spans="2:17" ht="15" thickBot="1" x14ac:dyDescent="0.4">
      <c r="B18" s="5">
        <v>1.5</v>
      </c>
      <c r="C18" s="5" t="e">
        <f t="shared" si="0"/>
        <v>#DIV/0!</v>
      </c>
      <c r="D18" s="6" t="e">
        <f t="shared" si="3"/>
        <v>#DIV/0!</v>
      </c>
      <c r="E18" s="7" t="e">
        <f t="shared" si="4"/>
        <v>#DIV/0!</v>
      </c>
      <c r="F18" s="6" t="e">
        <f t="shared" si="5"/>
        <v>#N/A</v>
      </c>
      <c r="G18" s="6" t="e">
        <f t="shared" si="6"/>
        <v>#DIV/0!</v>
      </c>
      <c r="H18" s="6" t="e">
        <f t="shared" si="7"/>
        <v>#N/A</v>
      </c>
      <c r="I18" s="7" t="e">
        <f t="shared" si="9"/>
        <v>#DIV/0!</v>
      </c>
      <c r="J18" s="7" t="e">
        <f t="shared" si="1"/>
        <v>#DIV/0!</v>
      </c>
      <c r="K18" s="7" t="e">
        <f t="shared" si="2"/>
        <v>#DIV/0!</v>
      </c>
      <c r="Q18" t="s">
        <v>19</v>
      </c>
    </row>
    <row r="19" spans="2:17" x14ac:dyDescent="0.35">
      <c r="B19" s="5">
        <v>1.6</v>
      </c>
      <c r="C19" s="5" t="e">
        <f t="shared" si="0"/>
        <v>#DIV/0!</v>
      </c>
      <c r="D19" s="6" t="e">
        <f t="shared" si="3"/>
        <v>#DIV/0!</v>
      </c>
      <c r="E19" s="7" t="e">
        <f t="shared" si="4"/>
        <v>#DIV/0!</v>
      </c>
      <c r="F19" s="6" t="e">
        <f t="shared" si="5"/>
        <v>#N/A</v>
      </c>
      <c r="G19" s="6" t="e">
        <f t="shared" si="6"/>
        <v>#DIV/0!</v>
      </c>
      <c r="H19" s="6" t="e">
        <f t="shared" si="7"/>
        <v>#N/A</v>
      </c>
      <c r="I19" s="7" t="e">
        <f t="shared" si="9"/>
        <v>#DIV/0!</v>
      </c>
      <c r="J19" s="7" t="e">
        <f t="shared" si="1"/>
        <v>#DIV/0!</v>
      </c>
      <c r="K19" s="7" t="e">
        <f t="shared" si="2"/>
        <v>#DIV/0!</v>
      </c>
      <c r="M19" s="170" t="s">
        <v>23</v>
      </c>
      <c r="N19" s="171"/>
      <c r="O19" s="172"/>
      <c r="Q19" t="s">
        <v>20</v>
      </c>
    </row>
    <row r="20" spans="2:17" x14ac:dyDescent="0.35">
      <c r="B20" s="5">
        <v>1.7</v>
      </c>
      <c r="C20" s="5" t="e">
        <f t="shared" si="0"/>
        <v>#DIV/0!</v>
      </c>
      <c r="D20" s="6" t="e">
        <f t="shared" si="3"/>
        <v>#DIV/0!</v>
      </c>
      <c r="E20" s="7" t="e">
        <f t="shared" si="4"/>
        <v>#DIV/0!</v>
      </c>
      <c r="F20" s="6" t="e">
        <f t="shared" si="5"/>
        <v>#N/A</v>
      </c>
      <c r="G20" s="6" t="e">
        <f t="shared" si="6"/>
        <v>#DIV/0!</v>
      </c>
      <c r="H20" s="6" t="e">
        <f t="shared" si="7"/>
        <v>#N/A</v>
      </c>
      <c r="I20" s="7" t="e">
        <f t="shared" si="9"/>
        <v>#DIV/0!</v>
      </c>
      <c r="J20" s="7" t="e">
        <f t="shared" si="1"/>
        <v>#DIV/0!</v>
      </c>
      <c r="K20" s="7" t="e">
        <f t="shared" si="2"/>
        <v>#DIV/0!</v>
      </c>
      <c r="M20" s="12" t="s">
        <v>11</v>
      </c>
      <c r="N20" s="2">
        <f>HMI!U10</f>
        <v>0</v>
      </c>
      <c r="O20" s="13" t="s">
        <v>14</v>
      </c>
      <c r="Q20" t="s">
        <v>21</v>
      </c>
    </row>
    <row r="21" spans="2:17" x14ac:dyDescent="0.35">
      <c r="B21" s="5">
        <v>1.8</v>
      </c>
      <c r="C21" s="5" t="e">
        <f t="shared" si="0"/>
        <v>#DIV/0!</v>
      </c>
      <c r="D21" s="6" t="e">
        <f t="shared" si="3"/>
        <v>#DIV/0!</v>
      </c>
      <c r="E21" s="7" t="e">
        <f t="shared" si="4"/>
        <v>#DIV/0!</v>
      </c>
      <c r="F21" s="6" t="e">
        <f t="shared" si="5"/>
        <v>#N/A</v>
      </c>
      <c r="G21" s="6" t="e">
        <f t="shared" si="6"/>
        <v>#DIV/0!</v>
      </c>
      <c r="H21" s="6" t="e">
        <f t="shared" si="7"/>
        <v>#N/A</v>
      </c>
      <c r="I21" s="7" t="e">
        <f t="shared" si="9"/>
        <v>#DIV/0!</v>
      </c>
      <c r="J21" s="7" t="e">
        <f t="shared" si="1"/>
        <v>#DIV/0!</v>
      </c>
      <c r="K21" s="7" t="e">
        <f t="shared" si="2"/>
        <v>#DIV/0!</v>
      </c>
      <c r="M21" s="12" t="s">
        <v>12</v>
      </c>
      <c r="N21" s="2">
        <f>HMI!U8</f>
        <v>0</v>
      </c>
      <c r="O21" s="13" t="s">
        <v>13</v>
      </c>
    </row>
    <row r="22" spans="2:17" x14ac:dyDescent="0.35">
      <c r="B22" s="5">
        <v>1.9</v>
      </c>
      <c r="C22" s="5" t="e">
        <f t="shared" si="0"/>
        <v>#DIV/0!</v>
      </c>
      <c r="D22" s="6" t="e">
        <f t="shared" si="3"/>
        <v>#DIV/0!</v>
      </c>
      <c r="E22" s="7" t="e">
        <f t="shared" si="4"/>
        <v>#DIV/0!</v>
      </c>
      <c r="F22" s="6" t="e">
        <f t="shared" si="5"/>
        <v>#N/A</v>
      </c>
      <c r="G22" s="6" t="e">
        <f t="shared" si="6"/>
        <v>#DIV/0!</v>
      </c>
      <c r="H22" s="6" t="e">
        <f t="shared" si="7"/>
        <v>#N/A</v>
      </c>
      <c r="I22" s="7" t="e">
        <f t="shared" ref="I22" si="10">$N$3*$N$3/(C22+B22)</f>
        <v>#DIV/0!</v>
      </c>
      <c r="J22" s="7" t="e">
        <f t="shared" si="1"/>
        <v>#DIV/0!</v>
      </c>
      <c r="K22" s="7" t="e">
        <f t="shared" si="2"/>
        <v>#DIV/0!</v>
      </c>
      <c r="M22" s="12" t="s">
        <v>16</v>
      </c>
      <c r="N22" s="7" t="e">
        <f>N20/N21*1000</f>
        <v>#DIV/0!</v>
      </c>
      <c r="O22" s="13" t="s">
        <v>15</v>
      </c>
    </row>
    <row r="23" spans="2:17" x14ac:dyDescent="0.35">
      <c r="B23" s="5">
        <v>2</v>
      </c>
      <c r="C23" s="5" t="e">
        <f t="shared" ref="C23:C33" si="11">B23/$N$5</f>
        <v>#DIV/0!</v>
      </c>
      <c r="D23" s="6" t="e">
        <f t="shared" si="3"/>
        <v>#DIV/0!</v>
      </c>
      <c r="E23" s="7" t="e">
        <f t="shared" ref="E23:E33" si="12">$N$4/D23</f>
        <v>#DIV/0!</v>
      </c>
      <c r="F23" s="6" t="e">
        <f t="shared" si="5"/>
        <v>#N/A</v>
      </c>
      <c r="G23" s="6" t="e">
        <f t="shared" si="6"/>
        <v>#DIV/0!</v>
      </c>
      <c r="H23" s="6" t="e">
        <f t="shared" si="7"/>
        <v>#N/A</v>
      </c>
      <c r="I23" s="7" t="e">
        <f t="shared" ref="I23:I33" si="13">$N$3*$N$3/(C23+B23)</f>
        <v>#DIV/0!</v>
      </c>
      <c r="J23" s="7" t="e">
        <f t="shared" si="1"/>
        <v>#DIV/0!</v>
      </c>
      <c r="K23" s="7" t="e">
        <f t="shared" si="2"/>
        <v>#DIV/0!</v>
      </c>
      <c r="M23" s="12" t="s">
        <v>63</v>
      </c>
      <c r="N23" s="2">
        <f>HMI!U22</f>
        <v>0</v>
      </c>
      <c r="O23" s="13" t="s">
        <v>6</v>
      </c>
    </row>
    <row r="24" spans="2:17" x14ac:dyDescent="0.35">
      <c r="B24" s="5">
        <v>3</v>
      </c>
      <c r="C24" s="5" t="e">
        <f t="shared" si="11"/>
        <v>#DIV/0!</v>
      </c>
      <c r="D24" s="6" t="e">
        <f t="shared" si="3"/>
        <v>#DIV/0!</v>
      </c>
      <c r="E24" s="7" t="e">
        <f t="shared" si="12"/>
        <v>#DIV/0!</v>
      </c>
      <c r="F24" s="6" t="e">
        <f t="shared" si="5"/>
        <v>#N/A</v>
      </c>
      <c r="G24" s="6" t="e">
        <f t="shared" si="6"/>
        <v>#DIV/0!</v>
      </c>
      <c r="H24" s="6" t="e">
        <f t="shared" si="7"/>
        <v>#N/A</v>
      </c>
      <c r="I24" s="7" t="e">
        <f t="shared" si="13"/>
        <v>#DIV/0!</v>
      </c>
      <c r="J24" s="7" t="e">
        <f t="shared" si="1"/>
        <v>#DIV/0!</v>
      </c>
      <c r="K24" s="7" t="e">
        <f t="shared" si="2"/>
        <v>#DIV/0!</v>
      </c>
      <c r="M24" s="12" t="s">
        <v>30</v>
      </c>
      <c r="N24" s="5">
        <f>(EXP(-N23))*100</f>
        <v>100</v>
      </c>
      <c r="O24" s="13" t="s">
        <v>31</v>
      </c>
    </row>
    <row r="25" spans="2:17" x14ac:dyDescent="0.35">
      <c r="B25" s="5">
        <v>4</v>
      </c>
      <c r="C25" s="5" t="e">
        <f t="shared" si="11"/>
        <v>#DIV/0!</v>
      </c>
      <c r="D25" s="6" t="e">
        <f t="shared" si="3"/>
        <v>#DIV/0!</v>
      </c>
      <c r="E25" s="7" t="e">
        <f t="shared" si="12"/>
        <v>#DIV/0!</v>
      </c>
      <c r="F25" s="6" t="e">
        <f t="shared" si="5"/>
        <v>#N/A</v>
      </c>
      <c r="G25" s="6" t="e">
        <f t="shared" si="6"/>
        <v>#DIV/0!</v>
      </c>
      <c r="H25" s="6" t="e">
        <f t="shared" si="7"/>
        <v>#N/A</v>
      </c>
      <c r="I25" s="7" t="e">
        <f t="shared" si="13"/>
        <v>#DIV/0!</v>
      </c>
      <c r="J25" s="7" t="e">
        <f t="shared" si="1"/>
        <v>#DIV/0!</v>
      </c>
      <c r="K25" s="7" t="e">
        <f t="shared" si="2"/>
        <v>#DIV/0!</v>
      </c>
      <c r="M25" s="12" t="s">
        <v>30</v>
      </c>
      <c r="N25" s="5">
        <f>N24*R3/100</f>
        <v>1</v>
      </c>
      <c r="O25" s="13" t="s">
        <v>27</v>
      </c>
    </row>
    <row r="26" spans="2:17" x14ac:dyDescent="0.35">
      <c r="B26" s="5">
        <v>5</v>
      </c>
      <c r="C26" s="5" t="e">
        <f t="shared" si="11"/>
        <v>#DIV/0!</v>
      </c>
      <c r="D26" s="6" t="e">
        <f t="shared" si="3"/>
        <v>#DIV/0!</v>
      </c>
      <c r="E26" s="7" t="e">
        <f t="shared" si="12"/>
        <v>#DIV/0!</v>
      </c>
      <c r="F26" s="6" t="e">
        <f t="shared" si="5"/>
        <v>#N/A</v>
      </c>
      <c r="G26" s="6" t="e">
        <f t="shared" si="6"/>
        <v>#DIV/0!</v>
      </c>
      <c r="H26" s="6" t="e">
        <f t="shared" si="7"/>
        <v>#N/A</v>
      </c>
      <c r="I26" s="7" t="e">
        <f t="shared" si="13"/>
        <v>#DIV/0!</v>
      </c>
      <c r="J26" s="7" t="e">
        <f t="shared" si="1"/>
        <v>#DIV/0!</v>
      </c>
      <c r="K26" s="7" t="e">
        <f t="shared" si="2"/>
        <v>#DIV/0!</v>
      </c>
      <c r="M26" s="12" t="s">
        <v>30</v>
      </c>
      <c r="N26" s="30">
        <f>R4*N25*1000</f>
        <v>28000</v>
      </c>
      <c r="O26" s="29" t="s">
        <v>52</v>
      </c>
    </row>
    <row r="27" spans="2:17" ht="15" thickBot="1" x14ac:dyDescent="0.4">
      <c r="B27" s="5">
        <v>6</v>
      </c>
      <c r="C27" s="5" t="e">
        <f t="shared" si="11"/>
        <v>#DIV/0!</v>
      </c>
      <c r="D27" s="6" t="e">
        <f t="shared" si="3"/>
        <v>#DIV/0!</v>
      </c>
      <c r="E27" s="7" t="e">
        <f t="shared" si="12"/>
        <v>#DIV/0!</v>
      </c>
      <c r="F27" s="6" t="e">
        <f t="shared" si="5"/>
        <v>#N/A</v>
      </c>
      <c r="G27" s="6" t="e">
        <f t="shared" si="6"/>
        <v>#DIV/0!</v>
      </c>
      <c r="H27" s="6" t="e">
        <f t="shared" si="7"/>
        <v>#N/A</v>
      </c>
      <c r="I27" s="7" t="e">
        <f t="shared" si="13"/>
        <v>#DIV/0!</v>
      </c>
      <c r="J27" s="7" t="e">
        <f t="shared" si="1"/>
        <v>#DIV/0!</v>
      </c>
      <c r="K27" s="7" t="e">
        <f t="shared" si="2"/>
        <v>#DIV/0!</v>
      </c>
      <c r="M27" s="14" t="s">
        <v>37</v>
      </c>
      <c r="N27" s="19">
        <f>N26/N3</f>
        <v>1111.1111111111111</v>
      </c>
      <c r="O27" s="15" t="s">
        <v>31</v>
      </c>
    </row>
    <row r="28" spans="2:17" x14ac:dyDescent="0.35">
      <c r="B28" s="5">
        <v>7</v>
      </c>
      <c r="C28" s="5" t="e">
        <f t="shared" si="11"/>
        <v>#DIV/0!</v>
      </c>
      <c r="D28" s="6" t="e">
        <f t="shared" si="3"/>
        <v>#DIV/0!</v>
      </c>
      <c r="E28" s="7" t="e">
        <f t="shared" si="12"/>
        <v>#DIV/0!</v>
      </c>
      <c r="F28" s="6" t="e">
        <f t="shared" si="5"/>
        <v>#N/A</v>
      </c>
      <c r="G28" s="6" t="e">
        <f t="shared" si="6"/>
        <v>#DIV/0!</v>
      </c>
      <c r="H28" s="6" t="e">
        <f t="shared" si="7"/>
        <v>#N/A</v>
      </c>
      <c r="I28" s="7" t="e">
        <f t="shared" si="13"/>
        <v>#DIV/0!</v>
      </c>
      <c r="J28" s="7" t="e">
        <f t="shared" si="1"/>
        <v>#DIV/0!</v>
      </c>
      <c r="K28" s="7" t="e">
        <f t="shared" si="2"/>
        <v>#DIV/0!</v>
      </c>
    </row>
    <row r="29" spans="2:17" x14ac:dyDescent="0.35">
      <c r="B29" s="5">
        <v>8</v>
      </c>
      <c r="C29" s="5" t="e">
        <f t="shared" si="11"/>
        <v>#DIV/0!</v>
      </c>
      <c r="D29" s="6" t="e">
        <f t="shared" si="3"/>
        <v>#DIV/0!</v>
      </c>
      <c r="E29" s="7" t="e">
        <f t="shared" si="12"/>
        <v>#DIV/0!</v>
      </c>
      <c r="F29" s="6" t="e">
        <f t="shared" si="5"/>
        <v>#N/A</v>
      </c>
      <c r="G29" s="6" t="e">
        <f t="shared" si="6"/>
        <v>#DIV/0!</v>
      </c>
      <c r="H29" s="6" t="e">
        <f t="shared" si="7"/>
        <v>#N/A</v>
      </c>
      <c r="I29" s="7" t="e">
        <f t="shared" si="13"/>
        <v>#DIV/0!</v>
      </c>
      <c r="J29" s="7" t="e">
        <f t="shared" si="1"/>
        <v>#DIV/0!</v>
      </c>
      <c r="K29" s="7" t="e">
        <f t="shared" si="2"/>
        <v>#DIV/0!</v>
      </c>
      <c r="M29" t="s">
        <v>65</v>
      </c>
    </row>
    <row r="30" spans="2:17" x14ac:dyDescent="0.35">
      <c r="B30" s="5">
        <v>9</v>
      </c>
      <c r="C30" s="5" t="e">
        <f t="shared" si="11"/>
        <v>#DIV/0!</v>
      </c>
      <c r="D30" s="6" t="e">
        <f t="shared" si="3"/>
        <v>#DIV/0!</v>
      </c>
      <c r="E30" s="7" t="e">
        <f t="shared" si="12"/>
        <v>#DIV/0!</v>
      </c>
      <c r="F30" s="6" t="e">
        <f t="shared" si="5"/>
        <v>#N/A</v>
      </c>
      <c r="G30" s="6" t="e">
        <f t="shared" si="6"/>
        <v>#DIV/0!</v>
      </c>
      <c r="H30" s="6" t="e">
        <f t="shared" si="7"/>
        <v>#N/A</v>
      </c>
      <c r="I30" s="7" t="e">
        <f t="shared" si="13"/>
        <v>#DIV/0!</v>
      </c>
      <c r="J30" s="7" t="e">
        <f t="shared" si="1"/>
        <v>#DIV/0!</v>
      </c>
      <c r="K30" s="7" t="e">
        <f t="shared" si="2"/>
        <v>#DIV/0!</v>
      </c>
    </row>
    <row r="31" spans="2:17" x14ac:dyDescent="0.35">
      <c r="B31" s="5">
        <v>10</v>
      </c>
      <c r="C31" s="5" t="e">
        <f t="shared" si="11"/>
        <v>#DIV/0!</v>
      </c>
      <c r="D31" s="6" t="e">
        <f t="shared" si="3"/>
        <v>#DIV/0!</v>
      </c>
      <c r="E31" s="7" t="e">
        <f t="shared" si="12"/>
        <v>#DIV/0!</v>
      </c>
      <c r="F31" s="6" t="e">
        <f t="shared" si="5"/>
        <v>#N/A</v>
      </c>
      <c r="G31" s="6" t="e">
        <f t="shared" si="6"/>
        <v>#DIV/0!</v>
      </c>
      <c r="H31" s="6" t="e">
        <f t="shared" si="7"/>
        <v>#N/A</v>
      </c>
      <c r="I31" s="7" t="e">
        <f t="shared" si="13"/>
        <v>#DIV/0!</v>
      </c>
      <c r="J31" s="7" t="e">
        <f t="shared" si="1"/>
        <v>#DIV/0!</v>
      </c>
      <c r="K31" s="7" t="e">
        <f t="shared" si="2"/>
        <v>#DIV/0!</v>
      </c>
    </row>
    <row r="32" spans="2:17" x14ac:dyDescent="0.35">
      <c r="B32" s="5">
        <v>20</v>
      </c>
      <c r="C32" s="5" t="e">
        <f t="shared" si="11"/>
        <v>#DIV/0!</v>
      </c>
      <c r="D32" s="6" t="e">
        <f t="shared" si="3"/>
        <v>#DIV/0!</v>
      </c>
      <c r="E32" s="7" t="e">
        <f t="shared" si="12"/>
        <v>#DIV/0!</v>
      </c>
      <c r="F32" s="6" t="e">
        <f t="shared" si="5"/>
        <v>#N/A</v>
      </c>
      <c r="G32" s="6" t="e">
        <f t="shared" si="6"/>
        <v>#DIV/0!</v>
      </c>
      <c r="H32" s="6" t="e">
        <f t="shared" si="7"/>
        <v>#N/A</v>
      </c>
      <c r="I32" s="7" t="e">
        <f t="shared" si="13"/>
        <v>#DIV/0!</v>
      </c>
      <c r="J32" s="7" t="e">
        <f t="shared" si="1"/>
        <v>#DIV/0!</v>
      </c>
      <c r="K32" s="7" t="e">
        <f t="shared" si="2"/>
        <v>#DIV/0!</v>
      </c>
    </row>
    <row r="33" spans="2:13" x14ac:dyDescent="0.35">
      <c r="B33" s="21">
        <v>0.39</v>
      </c>
      <c r="C33" s="21" t="e">
        <f t="shared" si="11"/>
        <v>#DIV/0!</v>
      </c>
      <c r="D33" s="20" t="e">
        <f t="shared" si="3"/>
        <v>#DIV/0!</v>
      </c>
      <c r="E33" s="20" t="e">
        <f t="shared" si="12"/>
        <v>#DIV/0!</v>
      </c>
      <c r="F33" s="6" t="e">
        <f t="shared" si="5"/>
        <v>#N/A</v>
      </c>
      <c r="G33" s="6" t="e">
        <f t="shared" si="6"/>
        <v>#DIV/0!</v>
      </c>
      <c r="H33" s="6" t="e">
        <f t="shared" si="7"/>
        <v>#N/A</v>
      </c>
      <c r="I33" s="20" t="e">
        <f t="shared" si="13"/>
        <v>#DIV/0!</v>
      </c>
      <c r="J33" s="20" t="e">
        <f t="shared" si="1"/>
        <v>#DIV/0!</v>
      </c>
      <c r="K33" s="20" t="e">
        <f t="shared" si="2"/>
        <v>#DIV/0!</v>
      </c>
      <c r="M33" t="e">
        <f>$N$2*B33/(C33+B33)</f>
        <v>#DIV/0!</v>
      </c>
    </row>
    <row r="34" spans="2:13" x14ac:dyDescent="0.35">
      <c r="B34" s="22"/>
      <c r="C34" s="22"/>
      <c r="D34" s="23"/>
      <c r="E34" s="23"/>
      <c r="F34" s="25"/>
      <c r="G34" s="25"/>
      <c r="H34" s="27"/>
      <c r="I34" s="23"/>
      <c r="J34" s="23"/>
      <c r="K34" s="23"/>
    </row>
    <row r="35" spans="2:13" x14ac:dyDescent="0.35">
      <c r="B35" s="21">
        <v>0.39</v>
      </c>
      <c r="C35" s="21">
        <v>5.6</v>
      </c>
      <c r="D35" s="20">
        <f t="shared" ref="D35" si="14">B35*C35/(B35+C35)+$N$17/1000</f>
        <v>0.36460767946577627</v>
      </c>
      <c r="E35" s="20">
        <f t="shared" ref="E35" si="15">$N$4/D35</f>
        <v>0</v>
      </c>
      <c r="F35" s="24" t="e">
        <f t="shared" ref="F35" si="16">IF($N$9=0,$N$23*($N$8+$N$7)*D35,$N$23*(0.1)*D35)</f>
        <v>#N/A</v>
      </c>
      <c r="G35" s="6">
        <f t="shared" si="6"/>
        <v>0</v>
      </c>
      <c r="H35" s="6" t="e">
        <f t="shared" ref="H35" si="17">1/(2*PI()*($N$8+$N$7+$N$9)*D35)*1000</f>
        <v>#N/A</v>
      </c>
      <c r="I35" s="20">
        <f t="shared" ref="I35" si="18">$N$3*$N$3/(C35+B35)</f>
        <v>106.01669449081807</v>
      </c>
      <c r="J35" s="20">
        <f t="shared" ref="J35" si="19">I35*$R$10/1000</f>
        <v>8.481335559265446</v>
      </c>
      <c r="K35" s="20">
        <f t="shared" ref="K35" si="20">I35*$R$11/1000</f>
        <v>15.90250417362271</v>
      </c>
      <c r="M35">
        <f>$N$2*B35/(C35+B35)</f>
        <v>1.8230383973288817</v>
      </c>
    </row>
    <row r="36" spans="2:13" x14ac:dyDescent="0.35">
      <c r="G36" s="28"/>
    </row>
    <row r="37" spans="2:13" x14ac:dyDescent="0.35">
      <c r="F37" s="11" t="s">
        <v>38</v>
      </c>
      <c r="G37" s="11"/>
    </row>
    <row r="38" spans="2:13" x14ac:dyDescent="0.35">
      <c r="H38" s="11" t="s">
        <v>39</v>
      </c>
    </row>
    <row r="41" spans="2:13" x14ac:dyDescent="0.35">
      <c r="B41" s="44" t="s">
        <v>129</v>
      </c>
      <c r="C41" s="42" t="s">
        <v>134</v>
      </c>
      <c r="D41" s="44" t="s">
        <v>128</v>
      </c>
      <c r="E41" s="43" t="s">
        <v>135</v>
      </c>
      <c r="F41" s="43" t="s">
        <v>136</v>
      </c>
      <c r="G41" s="46" t="s">
        <v>137</v>
      </c>
      <c r="H41" s="46" t="s">
        <v>138</v>
      </c>
    </row>
    <row r="42" spans="2:13" x14ac:dyDescent="0.35">
      <c r="B42" s="39">
        <f>HMI!U17</f>
        <v>0</v>
      </c>
      <c r="C42" s="38"/>
      <c r="D42" s="9">
        <f>HMI!U18</f>
        <v>0</v>
      </c>
      <c r="E42" s="6" t="e">
        <f>CAL_Vsense[[#This Row],[Rtop (Ω)]]*CAL_Vsense[[#This Row],[Rbot (Ω)]]/(CAL_Vsense[[#This Row],[Rbot (Ω)]]+CAL_Vsense[[#This Row],[Rtop (Ω)]])+Radc</f>
        <v>#DIV/0!</v>
      </c>
      <c r="F42" s="7" t="e" cm="1">
        <f t="array" ref="F42">DB_ADC[Vref,adc (V)]/CAL_Vsense[[#This Row],[Rth (Ω)]]*1000</f>
        <v>#DIV/0!</v>
      </c>
      <c r="G42" s="45" t="e" cm="1">
        <f t="array" ref="G42">HMI!U21*#REF!/1000</f>
        <v>#REF!</v>
      </c>
      <c r="H42" s="45" t="e">
        <f>HMI!U22*CAL_Vsense[[#This Row],[R_CinToAdc (Ω)]]*HMI!U21</f>
        <v>#REF!</v>
      </c>
    </row>
  </sheetData>
  <mergeCells count="2">
    <mergeCell ref="M19:O19"/>
    <mergeCell ref="B2:K2"/>
  </mergeCells>
  <conditionalFormatting sqref="F4:F35">
    <cfRule type="cellIs" dxfId="3" priority="17" operator="between">
      <formula>0</formula>
      <formula>$N$22</formula>
    </cfRule>
  </conditionalFormatting>
  <conditionalFormatting sqref="G4:G36">
    <cfRule type="cellIs" dxfId="2" priority="4" operator="lessThan">
      <formula>$N$16</formula>
    </cfRule>
  </conditionalFormatting>
  <conditionalFormatting sqref="H4:H35">
    <cfRule type="cellIs" dxfId="1" priority="5" operator="greaterThan">
      <formula>$N$10/1000*$N$11</formula>
    </cfRule>
  </conditionalFormatting>
  <conditionalFormatting sqref="H42">
    <cfRule type="cellIs" dxfId="0" priority="3" operator="between">
      <formula>0</formula>
      <formula>$N$22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A68B-708C-467B-9201-78BB9B5BE4BF}">
  <sheetPr codeName="Sheet6">
    <tabColor rgb="FF00B0F0"/>
  </sheetPr>
  <dimension ref="B1:K25"/>
  <sheetViews>
    <sheetView workbookViewId="0">
      <selection activeCell="M12" sqref="M12"/>
    </sheetView>
  </sheetViews>
  <sheetFormatPr defaultRowHeight="14.5" x14ac:dyDescent="0.35"/>
  <cols>
    <col min="1" max="1" width="3.1796875" style="67" customWidth="1"/>
    <col min="2" max="2" width="3.26953125" style="67" customWidth="1"/>
    <col min="3" max="3" width="27" style="67" customWidth="1"/>
    <col min="4" max="4" width="16.81640625" style="67" customWidth="1"/>
    <col min="5" max="5" width="3.7265625" style="67" customWidth="1"/>
    <col min="6" max="6" width="3.1796875" style="67" customWidth="1"/>
    <col min="7" max="7" width="25.81640625" style="67" bestFit="1" customWidth="1"/>
    <col min="8" max="8" width="7" style="67" customWidth="1"/>
    <col min="9" max="9" width="3.1796875" style="67" customWidth="1"/>
    <col min="10" max="10" width="24.54296875" style="67" bestFit="1" customWidth="1"/>
    <col min="11" max="11" width="7.7265625" style="67" customWidth="1"/>
    <col min="12" max="13" width="8.7265625" style="67"/>
    <col min="14" max="14" width="11.81640625" style="67" bestFit="1" customWidth="1"/>
    <col min="15" max="16384" width="8.7265625" style="67"/>
  </cols>
  <sheetData>
    <row r="1" spans="2:11" ht="15" thickBot="1" x14ac:dyDescent="0.4"/>
    <row r="2" spans="2:11" x14ac:dyDescent="0.35">
      <c r="B2" s="63"/>
      <c r="C2" s="63"/>
      <c r="D2" s="63"/>
      <c r="E2" s="63"/>
      <c r="G2" s="68" t="str">
        <f>C11</f>
        <v>Rshunt (µΩ)</v>
      </c>
      <c r="H2" s="69">
        <f>D11</f>
        <v>850</v>
      </c>
      <c r="J2" s="68" t="str">
        <f>C16</f>
        <v>Vref,adc (V)</v>
      </c>
      <c r="K2" s="84">
        <f>D16</f>
        <v>3.3</v>
      </c>
    </row>
    <row r="3" spans="2:11" x14ac:dyDescent="0.35">
      <c r="B3" s="63"/>
      <c r="C3" s="158" t="s">
        <v>117</v>
      </c>
      <c r="D3" s="159"/>
      <c r="E3" s="64"/>
      <c r="G3" s="70" t="str">
        <f>C5</f>
        <v>Iph typ (A) @ 95% ToF</v>
      </c>
      <c r="H3" s="61">
        <f>D5</f>
        <v>12.5</v>
      </c>
      <c r="J3" s="70" t="str">
        <f>C14</f>
        <v>Resolution (bit)</v>
      </c>
      <c r="K3" s="61">
        <f>D14</f>
        <v>12</v>
      </c>
    </row>
    <row r="4" spans="2:11" ht="15" thickBot="1" x14ac:dyDescent="0.4">
      <c r="B4" s="63"/>
      <c r="C4" s="36" t="s">
        <v>103</v>
      </c>
      <c r="D4" s="2" t="str">
        <f>HMI!B4</f>
        <v>V1.0</v>
      </c>
      <c r="E4" s="65"/>
      <c r="G4" s="87" t="s">
        <v>244</v>
      </c>
      <c r="H4" s="88">
        <f>H3*H2/1000</f>
        <v>10.625</v>
      </c>
      <c r="J4" s="70" t="str">
        <f>G9</f>
        <v>OpAmp gain</v>
      </c>
      <c r="K4" s="61">
        <f>H9</f>
        <v>64</v>
      </c>
    </row>
    <row r="5" spans="2:11" x14ac:dyDescent="0.35">
      <c r="B5" s="63"/>
      <c r="C5" s="36" t="str">
        <f>HMI!B14</f>
        <v>Iph typ (A) @ 95% ToF</v>
      </c>
      <c r="D5" s="2">
        <f>_xlfn.XLOOKUP(D4,DB_limits[Name],DB_limits[Iph typ (A)])</f>
        <v>12.5</v>
      </c>
      <c r="E5" s="65"/>
      <c r="G5" s="81"/>
      <c r="H5" s="82"/>
      <c r="J5" s="70" t="str">
        <f>C11</f>
        <v>Rshunt (µΩ)</v>
      </c>
      <c r="K5" s="61">
        <f>D11</f>
        <v>850</v>
      </c>
    </row>
    <row r="6" spans="2:11" ht="15" thickBot="1" x14ac:dyDescent="0.4">
      <c r="B6" s="63"/>
      <c r="C6" s="36" t="str">
        <f>HMI!B15</f>
        <v>Iph max (A@Xs) @ 4.9% ToF</v>
      </c>
      <c r="D6" s="2">
        <f>_xlfn.XLOOKUP(D4,DB_limits[Name],DB_limits[Iph max (A@Xs)])</f>
        <v>20</v>
      </c>
      <c r="E6" s="65"/>
      <c r="G6" s="75"/>
      <c r="H6" s="76"/>
      <c r="J6" s="87" t="s">
        <v>280</v>
      </c>
      <c r="K6" s="89">
        <f>K2/(2^K3-1)/K4/K5*10^9</f>
        <v>14.813617754794226</v>
      </c>
    </row>
    <row r="7" spans="2:11" ht="15" thickBot="1" x14ac:dyDescent="0.4">
      <c r="B7" s="63"/>
      <c r="C7" s="36" t="str">
        <f>HMI!B17</f>
        <v>Iph mean (A)</v>
      </c>
      <c r="D7" s="7">
        <f>_xlfn.XLOOKUP(D4,DB_limits[Name],DB_limits[Iph mean (A)])</f>
        <v>12.905000000000001</v>
      </c>
      <c r="E7" s="66"/>
      <c r="J7" s="103"/>
      <c r="K7" s="104"/>
    </row>
    <row r="8" spans="2:11" x14ac:dyDescent="0.35">
      <c r="B8" s="63"/>
      <c r="C8" s="36" t="str">
        <f>HMI!B16</f>
        <v>Iph spike (A@Xms) @ 0.1% ToF</v>
      </c>
      <c r="D8" s="2">
        <f>_xlfn.XLOOKUP(D4,DB_limits[Name],DB_limits[Iph spike (A@Xms)])</f>
        <v>50</v>
      </c>
      <c r="E8" s="65"/>
      <c r="G8" s="68" t="str">
        <f>G4</f>
        <v>Vshunt,typ (mV)</v>
      </c>
      <c r="H8" s="69">
        <f>H4</f>
        <v>10.625</v>
      </c>
      <c r="J8" s="105"/>
      <c r="K8" s="106"/>
    </row>
    <row r="9" spans="2:11" ht="15" thickBot="1" x14ac:dyDescent="0.4">
      <c r="B9" s="63"/>
      <c r="C9" s="36" t="str">
        <f>HMI!B6</f>
        <v>Dmax (%)</v>
      </c>
      <c r="D9" s="2">
        <f>_xlfn.XLOOKUP(D4,DB_limits[Name],DB_limits[Dmax (%)])</f>
        <v>90</v>
      </c>
      <c r="E9" s="65"/>
      <c r="G9" s="70" t="str">
        <f>C15</f>
        <v>OpAmp gain</v>
      </c>
      <c r="H9" s="61">
        <f>D15</f>
        <v>64</v>
      </c>
      <c r="J9" s="75"/>
      <c r="K9" s="76"/>
    </row>
    <row r="10" spans="2:11" ht="15" thickBot="1" x14ac:dyDescent="0.4">
      <c r="B10" s="63"/>
      <c r="C10" s="158" t="s">
        <v>242</v>
      </c>
      <c r="D10" s="159"/>
      <c r="E10" s="63"/>
      <c r="G10" s="87" t="s">
        <v>248</v>
      </c>
      <c r="H10" s="88">
        <f>H9*H8/1000</f>
        <v>0.68</v>
      </c>
    </row>
    <row r="11" spans="2:11" x14ac:dyDescent="0.35">
      <c r="B11" s="63"/>
      <c r="C11" s="36" t="str">
        <f>HMI!K4</f>
        <v>Rshunt (µΩ)</v>
      </c>
      <c r="D11" s="2">
        <f>HMI!L4</f>
        <v>850</v>
      </c>
      <c r="E11" s="64"/>
      <c r="G11" s="81"/>
      <c r="H11" s="82"/>
      <c r="J11" s="68" t="str">
        <f>C11</f>
        <v>Rshunt (µΩ)</v>
      </c>
      <c r="K11" s="69">
        <f>D11</f>
        <v>850</v>
      </c>
    </row>
    <row r="12" spans="2:11" ht="15" thickBot="1" x14ac:dyDescent="0.4">
      <c r="B12" s="63"/>
      <c r="C12" s="158" t="s">
        <v>246</v>
      </c>
      <c r="D12" s="159"/>
      <c r="E12" s="64"/>
      <c r="G12" s="75"/>
      <c r="H12" s="76"/>
      <c r="J12" s="70" t="str">
        <f>C7</f>
        <v>Iph mean (A)</v>
      </c>
      <c r="K12" s="61">
        <f>D7</f>
        <v>12.905000000000001</v>
      </c>
    </row>
    <row r="13" spans="2:11" ht="15" thickBot="1" x14ac:dyDescent="0.4">
      <c r="B13" s="63"/>
      <c r="C13" s="36" t="str">
        <f>DB_ADC[[#Headers],[Name]]</f>
        <v>Name</v>
      </c>
      <c r="D13" s="2" t="str">
        <f>HMI!K8</f>
        <v>STM32G4 internal</v>
      </c>
      <c r="E13" s="64"/>
      <c r="J13" s="70" t="str">
        <f>C9</f>
        <v>Dmax (%)</v>
      </c>
      <c r="K13" s="61">
        <f>D9</f>
        <v>90</v>
      </c>
    </row>
    <row r="14" spans="2:11" ht="15" thickBot="1" x14ac:dyDescent="0.4">
      <c r="B14" s="63"/>
      <c r="C14" s="36" t="str">
        <f>HMI!K11</f>
        <v>Resolution (bit)</v>
      </c>
      <c r="D14" s="2">
        <f>HMI!L11</f>
        <v>12</v>
      </c>
      <c r="E14" s="64"/>
      <c r="G14" s="68" t="str">
        <f>C8</f>
        <v>Iph spike (A@Xms) @ 0.1% ToF</v>
      </c>
      <c r="H14" s="69">
        <f>D8</f>
        <v>50</v>
      </c>
      <c r="J14" s="79" t="s">
        <v>250</v>
      </c>
      <c r="K14" s="86">
        <f>K11/10^3*K12^2*K13%*2/3</f>
        <v>84.934902750000006</v>
      </c>
    </row>
    <row r="15" spans="2:11" x14ac:dyDescent="0.35">
      <c r="B15" s="63"/>
      <c r="C15" s="36" t="str">
        <f>HMI!K13</f>
        <v>OpAmp gain</v>
      </c>
      <c r="D15" s="2">
        <f>HMI!L13</f>
        <v>64</v>
      </c>
      <c r="E15" s="64"/>
      <c r="G15" s="70" t="str">
        <f>C11</f>
        <v>Rshunt (µΩ)</v>
      </c>
      <c r="H15" s="61">
        <f>D11</f>
        <v>850</v>
      </c>
      <c r="J15" s="81"/>
      <c r="K15" s="82"/>
    </row>
    <row r="16" spans="2:11" ht="15" thickBot="1" x14ac:dyDescent="0.4">
      <c r="B16" s="63"/>
      <c r="C16" s="36" t="str">
        <f>DB_ADC[[#Headers],[Vref,adc (V)]]</f>
        <v>Vref,adc (V)</v>
      </c>
      <c r="D16" s="2">
        <f>_xlfn.XLOOKUP(D13,DB_ADC[Name],DB_ADC[Vref,adc (V)])</f>
        <v>3.3</v>
      </c>
      <c r="E16" s="64"/>
      <c r="G16" s="87" t="s">
        <v>245</v>
      </c>
      <c r="H16" s="88">
        <f>H15*H14/1000</f>
        <v>42.5</v>
      </c>
      <c r="J16" s="71"/>
      <c r="K16" s="72"/>
    </row>
    <row r="17" spans="2:11" ht="15" thickBot="1" x14ac:dyDescent="0.4">
      <c r="B17" s="63"/>
      <c r="C17" s="63"/>
      <c r="D17" s="63"/>
      <c r="E17" s="63"/>
      <c r="G17" s="81"/>
      <c r="H17" s="82"/>
      <c r="J17" s="75"/>
      <c r="K17" s="76"/>
    </row>
    <row r="18" spans="2:11" ht="15" thickBot="1" x14ac:dyDescent="0.4">
      <c r="B18" s="64"/>
      <c r="E18" s="64"/>
      <c r="G18" s="75"/>
      <c r="H18" s="76"/>
    </row>
    <row r="19" spans="2:11" ht="15" thickBot="1" x14ac:dyDescent="0.4">
      <c r="B19" s="64"/>
      <c r="E19" s="64"/>
      <c r="J19" s="68" t="str">
        <f>J11</f>
        <v>Rshunt (µΩ)</v>
      </c>
      <c r="K19" s="69">
        <f>K11</f>
        <v>850</v>
      </c>
    </row>
    <row r="20" spans="2:11" x14ac:dyDescent="0.35">
      <c r="B20" s="64"/>
      <c r="E20" s="64"/>
      <c r="G20" s="68" t="str">
        <f>G16</f>
        <v>Vshunt,spike (mV)</v>
      </c>
      <c r="H20" s="69">
        <f>H16</f>
        <v>42.5</v>
      </c>
      <c r="J20" s="70" t="str">
        <f>C6</f>
        <v>Iph max (A@Xs) @ 4.9% ToF</v>
      </c>
      <c r="K20" s="61">
        <f>D6</f>
        <v>20</v>
      </c>
    </row>
    <row r="21" spans="2:11" x14ac:dyDescent="0.35">
      <c r="B21" s="64"/>
      <c r="E21" s="64"/>
      <c r="G21" s="70" t="str">
        <f>C15</f>
        <v>OpAmp gain</v>
      </c>
      <c r="H21" s="61">
        <f>D15</f>
        <v>64</v>
      </c>
      <c r="J21" s="70" t="str">
        <f>C9</f>
        <v>Dmax (%)</v>
      </c>
      <c r="K21" s="61">
        <f>D9</f>
        <v>90</v>
      </c>
    </row>
    <row r="22" spans="2:11" ht="15" thickBot="1" x14ac:dyDescent="0.4">
      <c r="B22" s="64"/>
      <c r="E22" s="64"/>
      <c r="G22" s="87" t="s">
        <v>249</v>
      </c>
      <c r="H22" s="88">
        <f>H21*H20/1000</f>
        <v>2.72</v>
      </c>
      <c r="J22" s="79" t="s">
        <v>251</v>
      </c>
      <c r="K22" s="86">
        <f>K19/10^3*K20^2*K21%*2/3</f>
        <v>204</v>
      </c>
    </row>
    <row r="23" spans="2:11" x14ac:dyDescent="0.35">
      <c r="B23" s="64"/>
      <c r="E23" s="64"/>
      <c r="G23" s="81"/>
      <c r="H23" s="82"/>
      <c r="J23" s="81"/>
      <c r="K23" s="82"/>
    </row>
    <row r="24" spans="2:11" ht="15" thickBot="1" x14ac:dyDescent="0.4">
      <c r="B24" s="63"/>
      <c r="C24" s="63"/>
      <c r="D24" s="63"/>
      <c r="E24" s="63"/>
      <c r="G24" s="75"/>
      <c r="H24" s="76"/>
      <c r="J24" s="71"/>
      <c r="K24" s="72"/>
    </row>
    <row r="25" spans="2:11" ht="15" thickBot="1" x14ac:dyDescent="0.4">
      <c r="J25" s="75"/>
      <c r="K25" s="76"/>
    </row>
  </sheetData>
  <mergeCells count="3">
    <mergeCell ref="C3:D3"/>
    <mergeCell ref="C10:D10"/>
    <mergeCell ref="C12:D1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CAFF9-1F43-40BD-BD89-61BF0CE5890D}">
  <sheetPr codeName="Sheet7">
    <tabColor rgb="FF00B0F0"/>
  </sheetPr>
  <dimension ref="B2:K16"/>
  <sheetViews>
    <sheetView zoomScale="115" zoomScaleNormal="115" workbookViewId="0">
      <selection activeCell="D24" sqref="D24"/>
    </sheetView>
  </sheetViews>
  <sheetFormatPr defaultColWidth="10.90625" defaultRowHeight="14.5" x14ac:dyDescent="0.35"/>
  <cols>
    <col min="1" max="1" width="3" customWidth="1"/>
    <col min="2" max="2" width="15.08984375" customWidth="1"/>
    <col min="3" max="3" width="19.7265625" customWidth="1"/>
    <col min="4" max="4" width="26.1796875" customWidth="1"/>
    <col min="5" max="6" width="23.90625" customWidth="1"/>
    <col min="7" max="7" width="10.26953125" customWidth="1"/>
    <col min="8" max="8" width="2.1796875" customWidth="1"/>
    <col min="9" max="9" width="31.1796875" customWidth="1"/>
    <col min="10" max="10" width="5.90625" bestFit="1" customWidth="1"/>
    <col min="11" max="11" width="6.08984375" bestFit="1" customWidth="1"/>
  </cols>
  <sheetData>
    <row r="2" spans="2:11" x14ac:dyDescent="0.35">
      <c r="B2" s="176" t="s">
        <v>56</v>
      </c>
      <c r="C2" s="176"/>
      <c r="D2" s="176"/>
      <c r="E2" s="176"/>
      <c r="F2" s="176"/>
      <c r="G2" s="176"/>
      <c r="I2" s="8" t="s">
        <v>48</v>
      </c>
      <c r="J2" s="2">
        <v>0.01</v>
      </c>
      <c r="K2" s="3" t="s">
        <v>49</v>
      </c>
    </row>
    <row r="3" spans="2:11" x14ac:dyDescent="0.35">
      <c r="B3" s="51" t="s">
        <v>54</v>
      </c>
      <c r="C3" s="52" t="s">
        <v>53</v>
      </c>
      <c r="D3" s="52" t="s">
        <v>154</v>
      </c>
      <c r="E3" s="52" t="s">
        <v>158</v>
      </c>
      <c r="F3" s="53" t="s">
        <v>159</v>
      </c>
      <c r="G3" s="53" t="s">
        <v>59</v>
      </c>
      <c r="I3" s="8" t="s">
        <v>51</v>
      </c>
      <c r="J3" s="2">
        <f>HMI!C6</f>
        <v>90</v>
      </c>
      <c r="K3" s="3" t="s">
        <v>31</v>
      </c>
    </row>
    <row r="4" spans="2:11" x14ac:dyDescent="0.35">
      <c r="B4" s="47">
        <f>0.1*1000</f>
        <v>100</v>
      </c>
      <c r="C4" s="6">
        <f>B4*$J$5*$J$5/1000/1000*$J$3/100</f>
        <v>3.6000000000000004E-2</v>
      </c>
      <c r="D4" s="6">
        <f>$J$6*B4/1000*$J$12/1000</f>
        <v>0</v>
      </c>
      <c r="E4" s="6">
        <f t="shared" ref="E4:E14" si="0">$J$5*B4/1000*$J$12/1000</f>
        <v>0</v>
      </c>
      <c r="F4" s="57">
        <f t="shared" ref="F4:F14" si="1">$J$4*B4/1000*$J$12/1000</f>
        <v>0</v>
      </c>
      <c r="G4" s="49" t="e">
        <f t="shared" ref="G4:G14" si="2">$J$6/(D4/1000*$J$10/$J$8)</f>
        <v>#DIV/0!</v>
      </c>
      <c r="I4" s="8" t="str">
        <f>HMI!B14</f>
        <v>Iph typ (A) @ 95% ToF</v>
      </c>
      <c r="J4" s="2">
        <f>HMI!C14</f>
        <v>12.5</v>
      </c>
      <c r="K4" s="3" t="s">
        <v>49</v>
      </c>
    </row>
    <row r="5" spans="2:11" x14ac:dyDescent="0.35">
      <c r="B5" s="47">
        <f>B4+100</f>
        <v>200</v>
      </c>
      <c r="C5" s="6">
        <f t="shared" ref="C5:C14" si="3">B5*$J$5*$J$5/1000/1000*$J$3/100</f>
        <v>7.2000000000000008E-2</v>
      </c>
      <c r="D5" s="6">
        <f t="shared" ref="D5:D14" si="4">$J$6*B5/1000*$J$12/1000</f>
        <v>0</v>
      </c>
      <c r="E5" s="6">
        <f t="shared" si="0"/>
        <v>0</v>
      </c>
      <c r="F5" s="57">
        <f t="shared" si="1"/>
        <v>0</v>
      </c>
      <c r="G5" s="49" t="e">
        <f t="shared" si="2"/>
        <v>#DIV/0!</v>
      </c>
      <c r="I5" s="8" t="str">
        <f>HMI!B15</f>
        <v>Iph max (A@Xs) @ 4.9% ToF</v>
      </c>
      <c r="J5" s="2">
        <f>HMI!C15</f>
        <v>20</v>
      </c>
      <c r="K5" s="3" t="s">
        <v>49</v>
      </c>
    </row>
    <row r="6" spans="2:11" x14ac:dyDescent="0.35">
      <c r="B6" s="47">
        <v>250</v>
      </c>
      <c r="C6" s="6">
        <f t="shared" si="3"/>
        <v>0.09</v>
      </c>
      <c r="D6" s="6">
        <f t="shared" si="4"/>
        <v>0</v>
      </c>
      <c r="E6" s="6">
        <f t="shared" si="0"/>
        <v>0</v>
      </c>
      <c r="F6" s="57">
        <f t="shared" si="1"/>
        <v>0</v>
      </c>
      <c r="G6" s="49" t="e">
        <f t="shared" si="2"/>
        <v>#DIV/0!</v>
      </c>
      <c r="I6" s="8" t="str">
        <f>HMI!B16</f>
        <v>Iph spike (A@Xms) @ 0.1% ToF</v>
      </c>
      <c r="J6" s="2">
        <f>HMI!C16</f>
        <v>50</v>
      </c>
      <c r="K6" s="3" t="s">
        <v>49</v>
      </c>
    </row>
    <row r="7" spans="2:11" x14ac:dyDescent="0.35">
      <c r="B7" s="47">
        <f>B5+100</f>
        <v>300</v>
      </c>
      <c r="C7" s="6">
        <f t="shared" si="3"/>
        <v>0.10799999999999998</v>
      </c>
      <c r="D7" s="6">
        <f t="shared" si="4"/>
        <v>0</v>
      </c>
      <c r="E7" s="6">
        <f t="shared" si="0"/>
        <v>0</v>
      </c>
      <c r="F7" s="57">
        <f t="shared" si="1"/>
        <v>0</v>
      </c>
      <c r="G7" s="49" t="e">
        <f t="shared" si="2"/>
        <v>#DIV/0!</v>
      </c>
    </row>
    <row r="8" spans="2:11" x14ac:dyDescent="0.35">
      <c r="B8" s="47">
        <f t="shared" ref="B8:B14" si="5">B7+100</f>
        <v>400</v>
      </c>
      <c r="C8" s="6">
        <f t="shared" si="3"/>
        <v>0.14400000000000002</v>
      </c>
      <c r="D8" s="6">
        <f t="shared" si="4"/>
        <v>0</v>
      </c>
      <c r="E8" s="6">
        <f t="shared" si="0"/>
        <v>0</v>
      </c>
      <c r="F8" s="57">
        <f t="shared" si="1"/>
        <v>0</v>
      </c>
      <c r="G8" s="49" t="e">
        <f t="shared" si="2"/>
        <v>#DIV/0!</v>
      </c>
      <c r="I8" s="8" t="s">
        <v>50</v>
      </c>
      <c r="J8" s="6">
        <f>HMI!R5</f>
        <v>0</v>
      </c>
      <c r="K8" s="3" t="s">
        <v>2</v>
      </c>
    </row>
    <row r="9" spans="2:11" x14ac:dyDescent="0.35">
      <c r="B9" s="48">
        <f t="shared" si="5"/>
        <v>500</v>
      </c>
      <c r="C9" s="26">
        <f>B9*$J$5*$J$5/1000/1000*$J$3/100</f>
        <v>0.18</v>
      </c>
      <c r="D9" s="26">
        <f t="shared" si="4"/>
        <v>0</v>
      </c>
      <c r="E9" s="26">
        <f t="shared" si="0"/>
        <v>0</v>
      </c>
      <c r="F9" s="58">
        <f t="shared" si="1"/>
        <v>0</v>
      </c>
      <c r="G9" s="50" t="e">
        <f t="shared" si="2"/>
        <v>#DIV/0!</v>
      </c>
      <c r="I9" s="8" t="s">
        <v>25</v>
      </c>
      <c r="J9" s="2">
        <f>HMI!R11</f>
        <v>0</v>
      </c>
      <c r="K9" s="3" t="s">
        <v>26</v>
      </c>
    </row>
    <row r="10" spans="2:11" x14ac:dyDescent="0.35">
      <c r="B10" s="47">
        <f t="shared" si="5"/>
        <v>600</v>
      </c>
      <c r="C10" s="6">
        <f t="shared" si="3"/>
        <v>0.21599999999999997</v>
      </c>
      <c r="D10" s="6">
        <f t="shared" si="4"/>
        <v>0</v>
      </c>
      <c r="E10" s="6">
        <f t="shared" si="0"/>
        <v>0</v>
      </c>
      <c r="F10" s="57">
        <f t="shared" si="1"/>
        <v>0</v>
      </c>
      <c r="G10" s="49" t="e">
        <f t="shared" si="2"/>
        <v>#DIV/0!</v>
      </c>
      <c r="I10" s="8" t="s">
        <v>25</v>
      </c>
      <c r="J10" s="2">
        <f>2^J9</f>
        <v>1</v>
      </c>
      <c r="K10" s="3" t="s">
        <v>27</v>
      </c>
    </row>
    <row r="11" spans="2:11" x14ac:dyDescent="0.35">
      <c r="B11" s="47">
        <f t="shared" si="5"/>
        <v>700</v>
      </c>
      <c r="C11" s="6">
        <f t="shared" si="3"/>
        <v>0.252</v>
      </c>
      <c r="D11" s="6">
        <f t="shared" si="4"/>
        <v>0</v>
      </c>
      <c r="E11" s="6">
        <f t="shared" si="0"/>
        <v>0</v>
      </c>
      <c r="F11" s="57">
        <f t="shared" si="1"/>
        <v>0</v>
      </c>
      <c r="G11" s="49" t="e">
        <f t="shared" si="2"/>
        <v>#DIV/0!</v>
      </c>
      <c r="I11" s="8" t="s">
        <v>25</v>
      </c>
      <c r="J11" s="7">
        <f>J8/J10*1000</f>
        <v>0</v>
      </c>
      <c r="K11" s="3" t="s">
        <v>57</v>
      </c>
    </row>
    <row r="12" spans="2:11" x14ac:dyDescent="0.35">
      <c r="B12" s="47">
        <f t="shared" si="5"/>
        <v>800</v>
      </c>
      <c r="C12" s="6">
        <f t="shared" si="3"/>
        <v>0.28800000000000003</v>
      </c>
      <c r="D12" s="6">
        <f t="shared" si="4"/>
        <v>0</v>
      </c>
      <c r="E12" s="6">
        <f t="shared" si="0"/>
        <v>0</v>
      </c>
      <c r="F12" s="57">
        <f t="shared" si="1"/>
        <v>0</v>
      </c>
      <c r="G12" s="49" t="e">
        <f t="shared" si="2"/>
        <v>#DIV/0!</v>
      </c>
      <c r="I12" s="8" t="s">
        <v>58</v>
      </c>
      <c r="J12" s="9">
        <f>HMI!R12</f>
        <v>0</v>
      </c>
      <c r="K12" s="3" t="s">
        <v>6</v>
      </c>
    </row>
    <row r="13" spans="2:11" x14ac:dyDescent="0.35">
      <c r="B13" s="47">
        <f t="shared" si="5"/>
        <v>900</v>
      </c>
      <c r="C13" s="6">
        <f t="shared" si="3"/>
        <v>0.32400000000000001</v>
      </c>
      <c r="D13" s="6">
        <f t="shared" si="4"/>
        <v>0</v>
      </c>
      <c r="E13" s="6">
        <f t="shared" si="0"/>
        <v>0</v>
      </c>
      <c r="F13" s="57">
        <f t="shared" si="1"/>
        <v>0</v>
      </c>
      <c r="G13" s="49" t="e">
        <f t="shared" si="2"/>
        <v>#DIV/0!</v>
      </c>
    </row>
    <row r="14" spans="2:11" x14ac:dyDescent="0.35">
      <c r="B14" s="54">
        <f t="shared" si="5"/>
        <v>1000</v>
      </c>
      <c r="C14" s="40">
        <f t="shared" si="3"/>
        <v>0.36</v>
      </c>
      <c r="D14" s="40">
        <f t="shared" si="4"/>
        <v>0</v>
      </c>
      <c r="E14" s="40">
        <f t="shared" si="0"/>
        <v>0</v>
      </c>
      <c r="F14" s="59">
        <f t="shared" si="1"/>
        <v>0</v>
      </c>
      <c r="G14" s="55" t="e">
        <f t="shared" si="2"/>
        <v>#DIV/0!</v>
      </c>
    </row>
    <row r="16" spans="2:11" x14ac:dyDescent="0.35">
      <c r="D16" s="35"/>
      <c r="E16" s="35"/>
      <c r="F16" s="35"/>
    </row>
  </sheetData>
  <mergeCells count="1">
    <mergeCell ref="B2:G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83B6-023E-4EFB-95F4-1DEBBF29323C}">
  <sheetPr codeName="Sheet4">
    <tabColor rgb="FF00B0F0"/>
  </sheetPr>
  <dimension ref="B1:Y38"/>
  <sheetViews>
    <sheetView zoomScale="85" zoomScaleNormal="85" workbookViewId="0">
      <selection activeCell="R31" sqref="R31"/>
    </sheetView>
  </sheetViews>
  <sheetFormatPr defaultRowHeight="14.5" x14ac:dyDescent="0.35"/>
  <cols>
    <col min="1" max="1" width="3.1796875" style="67" customWidth="1"/>
    <col min="2" max="2" width="3.453125" style="67" customWidth="1"/>
    <col min="3" max="3" width="28.6328125" style="67" customWidth="1"/>
    <col min="4" max="4" width="20.36328125" style="67" customWidth="1"/>
    <col min="5" max="5" width="3.26953125" style="67" customWidth="1"/>
    <col min="6" max="6" width="3.1796875" style="67" customWidth="1"/>
    <col min="7" max="7" width="19.08984375" style="67" customWidth="1"/>
    <col min="8" max="8" width="8.36328125" style="67" bestFit="1" customWidth="1"/>
    <col min="9" max="9" width="3.1796875" style="67" customWidth="1"/>
    <col min="10" max="10" width="21.26953125" style="67" bestFit="1" customWidth="1"/>
    <col min="11" max="11" width="7.54296875" style="67" customWidth="1"/>
    <col min="12" max="12" width="3.1796875" style="67" customWidth="1"/>
    <col min="13" max="13" width="21.81640625" style="67" customWidth="1"/>
    <col min="14" max="14" width="10.26953125" style="67" customWidth="1"/>
    <col min="15" max="15" width="3.26953125" style="67" customWidth="1"/>
    <col min="16" max="16" width="25.36328125" style="67" customWidth="1"/>
    <col min="17" max="17" width="19.6328125" style="67" customWidth="1"/>
    <col min="18" max="16384" width="8.7265625" style="67"/>
  </cols>
  <sheetData>
    <row r="1" spans="2:17" ht="15" thickBot="1" x14ac:dyDescent="0.4"/>
    <row r="2" spans="2:17" x14ac:dyDescent="0.35">
      <c r="B2" s="63"/>
      <c r="C2" s="63"/>
      <c r="D2" s="63"/>
      <c r="E2" s="63"/>
      <c r="G2" s="68" t="str">
        <f>C18</f>
        <v>Rv2 (Ω)</v>
      </c>
      <c r="H2" s="84">
        <f>D18</f>
        <v>1000</v>
      </c>
      <c r="J2" s="68" t="str">
        <f>C6</f>
        <v>Vbat,typ (V)</v>
      </c>
      <c r="K2" s="77">
        <f>D6</f>
        <v>25.200000000000003</v>
      </c>
      <c r="M2" s="68" t="str">
        <f>G6</f>
        <v>Rv1 (Ω)</v>
      </c>
      <c r="N2" s="69">
        <f>H6</f>
        <v>10000</v>
      </c>
      <c r="P2" s="68" t="str">
        <f t="shared" ref="P2:Q4" si="0">C13</f>
        <v>Csamp (pF)</v>
      </c>
      <c r="Q2" s="69">
        <f t="shared" si="0"/>
        <v>5</v>
      </c>
    </row>
    <row r="3" spans="2:17" x14ac:dyDescent="0.35">
      <c r="B3" s="63"/>
      <c r="C3" s="158" t="s">
        <v>117</v>
      </c>
      <c r="D3" s="159"/>
      <c r="E3" s="64"/>
      <c r="G3" s="70" t="str">
        <f>C5</f>
        <v>Vph spike (V) @ run</v>
      </c>
      <c r="H3" s="61">
        <f>D5</f>
        <v>35</v>
      </c>
      <c r="J3" s="70" t="str">
        <f>G6</f>
        <v>Rv1 (Ω)</v>
      </c>
      <c r="K3" s="85">
        <f>H6</f>
        <v>10000</v>
      </c>
      <c r="M3" s="70" t="str">
        <f>C18</f>
        <v>Rv2 (Ω)</v>
      </c>
      <c r="N3" s="61">
        <f>D18</f>
        <v>1000</v>
      </c>
      <c r="P3" s="70" t="str">
        <f t="shared" si="0"/>
        <v>Cpad (pF)</v>
      </c>
      <c r="Q3" s="85">
        <f t="shared" si="0"/>
        <v>5</v>
      </c>
    </row>
    <row r="4" spans="2:17" ht="15" thickBot="1" x14ac:dyDescent="0.4">
      <c r="B4" s="63"/>
      <c r="C4" s="36" t="s">
        <v>103</v>
      </c>
      <c r="D4" s="2" t="str">
        <f>HMI!B4</f>
        <v>V1.0</v>
      </c>
      <c r="E4" s="65"/>
      <c r="G4" s="70" t="str">
        <f>C9</f>
        <v>Vref,adc (V)</v>
      </c>
      <c r="H4" s="61">
        <f>D9</f>
        <v>3.3</v>
      </c>
      <c r="J4" s="70" t="str">
        <f>C18</f>
        <v>Rv2 (Ω)</v>
      </c>
      <c r="K4" s="61">
        <f>D18</f>
        <v>1000</v>
      </c>
      <c r="M4" s="87" t="s">
        <v>276</v>
      </c>
      <c r="N4" s="88">
        <f>N2*N3/(N3+N2)</f>
        <v>909.09090909090912</v>
      </c>
      <c r="P4" s="70" t="str">
        <f t="shared" si="0"/>
        <v>Ctrace,est (pF)</v>
      </c>
      <c r="Q4" s="61">
        <f t="shared" si="0"/>
        <v>5</v>
      </c>
    </row>
    <row r="5" spans="2:17" ht="15" thickBot="1" x14ac:dyDescent="0.4">
      <c r="B5" s="63"/>
      <c r="C5" s="36" t="str">
        <f>HMI!B12</f>
        <v>Vph spike (V) @ run</v>
      </c>
      <c r="D5" s="2">
        <f>HMI!C12</f>
        <v>35</v>
      </c>
      <c r="E5" s="65"/>
      <c r="G5" s="73" t="s">
        <v>330</v>
      </c>
      <c r="H5" s="85">
        <f>H2*(H3/H4-1)</f>
        <v>9606.0606060606078</v>
      </c>
      <c r="J5" s="79" t="s">
        <v>277</v>
      </c>
      <c r="K5" s="80">
        <f>K2/(K3+K4)*10^3</f>
        <v>2.2909090909090915</v>
      </c>
      <c r="M5" s="81"/>
      <c r="N5" s="82"/>
      <c r="P5" s="79" t="s">
        <v>290</v>
      </c>
      <c r="Q5" s="83">
        <f>Q4+Q3+Q2</f>
        <v>15</v>
      </c>
    </row>
    <row r="6" spans="2:17" ht="15" thickBot="1" x14ac:dyDescent="0.4">
      <c r="B6" s="63"/>
      <c r="C6" s="36" t="str">
        <f>HMI!B9</f>
        <v>Vbat,typ (V)</v>
      </c>
      <c r="D6" s="2">
        <f>HMI!C9</f>
        <v>25.200000000000003</v>
      </c>
      <c r="E6" s="65"/>
      <c r="G6" s="79" t="s">
        <v>329</v>
      </c>
      <c r="H6" s="86">
        <f>_xlfn.MINIFS(DB_R[R (Ω)],DB_R[R (Ω)],"&gt;="&amp;H5)</f>
        <v>10000</v>
      </c>
      <c r="J6" s="81"/>
      <c r="K6" s="82"/>
      <c r="M6" s="71"/>
      <c r="N6" s="72"/>
      <c r="P6" s="81"/>
      <c r="Q6" s="82"/>
    </row>
    <row r="7" spans="2:17" ht="15" thickBot="1" x14ac:dyDescent="0.4">
      <c r="B7" s="63"/>
      <c r="C7" s="158" t="s">
        <v>246</v>
      </c>
      <c r="D7" s="159"/>
      <c r="E7" s="63"/>
      <c r="G7" s="81"/>
      <c r="H7" s="82"/>
      <c r="J7" s="71"/>
      <c r="K7" s="72"/>
      <c r="M7" s="75"/>
      <c r="N7" s="76"/>
      <c r="P7" s="75"/>
      <c r="Q7" s="76"/>
    </row>
    <row r="8" spans="2:17" ht="15" thickBot="1" x14ac:dyDescent="0.4">
      <c r="B8" s="63"/>
      <c r="C8" s="36" t="str">
        <f>DB_ADC[[#Headers],[Name]]</f>
        <v>Name</v>
      </c>
      <c r="D8" s="2" t="str">
        <f>HMI!N11</f>
        <v>STM32G4 internal</v>
      </c>
      <c r="E8" s="64"/>
      <c r="G8" s="71"/>
      <c r="H8" s="72"/>
      <c r="J8" s="75"/>
      <c r="K8" s="76"/>
      <c r="M8" s="71"/>
      <c r="N8" s="72"/>
    </row>
    <row r="9" spans="2:17" ht="15" thickBot="1" x14ac:dyDescent="0.4">
      <c r="B9" s="63"/>
      <c r="C9" s="36" t="str">
        <f>DB_ADC[[#Headers],[Vref,adc (V)]]</f>
        <v>Vref,adc (V)</v>
      </c>
      <c r="D9" s="2">
        <f>_xlfn.XLOOKUP(D8,DB_ADC[Name],DB_ADC[Vref,adc (V)])</f>
        <v>3.3</v>
      </c>
      <c r="E9" s="65"/>
      <c r="G9" s="75"/>
      <c r="H9" s="76"/>
      <c r="M9" s="71"/>
      <c r="N9" s="72"/>
      <c r="P9" s="68" t="str">
        <f>C24</f>
        <v>Charge factor (int)</v>
      </c>
      <c r="Q9" s="69">
        <f>D24</f>
        <v>12</v>
      </c>
    </row>
    <row r="10" spans="2:17" ht="15" thickBot="1" x14ac:dyDescent="0.4">
      <c r="B10" s="63"/>
      <c r="C10" s="36" t="str">
        <f>HMI!N15</f>
        <v>Resolution (bit)</v>
      </c>
      <c r="D10" s="2">
        <f>HMI!O15</f>
        <v>8</v>
      </c>
      <c r="E10" s="65"/>
      <c r="J10" s="68" t="str">
        <f>G23</f>
        <v>Vdivider,spike (V)</v>
      </c>
      <c r="K10" s="77">
        <f>H23</f>
        <v>3.1818181818181817</v>
      </c>
      <c r="M10" s="75"/>
      <c r="N10" s="76"/>
      <c r="P10" s="70" t="str">
        <f>M27</f>
        <v>Rthvn (Ω)</v>
      </c>
      <c r="Q10" s="85">
        <f>N27</f>
        <v>909.09090909090912</v>
      </c>
    </row>
    <row r="11" spans="2:17" ht="15" thickBot="1" x14ac:dyDescent="0.4">
      <c r="B11" s="63"/>
      <c r="C11" s="36" t="str">
        <f>DB_ADC[[#Headers],[Tadc,clock (ns)]]</f>
        <v>Tadc,clock (ns)</v>
      </c>
      <c r="D11" s="7">
        <f>_xlfn.XLOOKUP(D8,DB_ADC[Name],DB_ADC[Tadc,clock (ns)])</f>
        <v>16.666666666666668</v>
      </c>
      <c r="E11" s="65"/>
      <c r="G11" s="68" t="str">
        <f>G6</f>
        <v>Rv1 (Ω)</v>
      </c>
      <c r="H11" s="69">
        <f>H6</f>
        <v>10000</v>
      </c>
      <c r="J11" s="70" t="str">
        <f>G24</f>
        <v>Vdivider,typ (V)</v>
      </c>
      <c r="K11" s="74">
        <f>H24</f>
        <v>2.2909090909090915</v>
      </c>
      <c r="P11" s="70" t="str">
        <f>M28</f>
        <v>Radc,ext (Ω)</v>
      </c>
      <c r="Q11" s="85">
        <f>N28</f>
        <v>33</v>
      </c>
    </row>
    <row r="12" spans="2:17" x14ac:dyDescent="0.35">
      <c r="B12" s="63"/>
      <c r="C12" s="36" t="str">
        <f>HMI!N16</f>
        <v>Nsamp (cycle)</v>
      </c>
      <c r="D12" s="2">
        <f>HMI!O16</f>
        <v>2.5</v>
      </c>
      <c r="E12" s="63"/>
      <c r="G12" s="70" t="str">
        <f>C18</f>
        <v>Rv2 (Ω)</v>
      </c>
      <c r="H12" s="61">
        <f>D18</f>
        <v>1000</v>
      </c>
      <c r="J12" s="70" t="str">
        <f>C20</f>
        <v>Radc,ext (Ω)</v>
      </c>
      <c r="K12" s="61">
        <f>D20</f>
        <v>33</v>
      </c>
      <c r="M12" s="68" t="str">
        <f>M4</f>
        <v>Rthvn (Ω)</v>
      </c>
      <c r="N12" s="69">
        <f>N4</f>
        <v>909.09090909090912</v>
      </c>
      <c r="P12" s="70" t="str">
        <f>P5</f>
        <v>Cadc,tot (pF)</v>
      </c>
      <c r="Q12" s="85">
        <f>Q5</f>
        <v>15</v>
      </c>
    </row>
    <row r="13" spans="2:17" ht="15" thickBot="1" x14ac:dyDescent="0.4">
      <c r="B13" s="63"/>
      <c r="C13" s="36" t="str">
        <f>HMI!N12</f>
        <v>Csamp (pF)</v>
      </c>
      <c r="D13" s="2">
        <f>HMI!O12</f>
        <v>5</v>
      </c>
      <c r="E13" s="63"/>
      <c r="G13" s="70" t="str">
        <f>C5</f>
        <v>Vph spike (V) @ run</v>
      </c>
      <c r="H13" s="61">
        <f>D5</f>
        <v>35</v>
      </c>
      <c r="J13" s="73" t="s">
        <v>275</v>
      </c>
      <c r="K13" s="85">
        <f>K10/K12*1000</f>
        <v>96.418732782369133</v>
      </c>
      <c r="M13" s="70" t="str">
        <f>C20</f>
        <v>Radc,ext (Ω)</v>
      </c>
      <c r="N13" s="61">
        <f>D20</f>
        <v>33</v>
      </c>
      <c r="P13" s="79" t="s">
        <v>294</v>
      </c>
      <c r="Q13" s="83">
        <f>Q9*(Q10+Q11)*(Q12)*10^-3</f>
        <v>169.57636363636365</v>
      </c>
    </row>
    <row r="14" spans="2:17" ht="15" thickBot="1" x14ac:dyDescent="0.4">
      <c r="B14" s="63"/>
      <c r="C14" s="36" t="str">
        <f>DB_ADC[[#Headers],[Cpad (pF)]]</f>
        <v>Cpad (pF)</v>
      </c>
      <c r="D14" s="2">
        <f>HMI!O13</f>
        <v>5</v>
      </c>
      <c r="E14" s="63"/>
      <c r="G14" s="79" t="s">
        <v>257</v>
      </c>
      <c r="H14" s="86">
        <f>H13^2/(H11+H12)*1000</f>
        <v>111.36363636363636</v>
      </c>
      <c r="J14" s="79" t="s">
        <v>274</v>
      </c>
      <c r="K14" s="86">
        <f>K11/K12*1000</f>
        <v>69.421487603305792</v>
      </c>
      <c r="M14" s="70" t="str">
        <f>C22</f>
        <v>Cadc,ext (pF)</v>
      </c>
      <c r="N14" s="61">
        <f>D22</f>
        <v>100</v>
      </c>
      <c r="P14" s="81"/>
      <c r="Q14" s="82"/>
    </row>
    <row r="15" spans="2:17" ht="15" thickBot="1" x14ac:dyDescent="0.4">
      <c r="B15" s="63"/>
      <c r="C15" s="36" t="str">
        <f>HMI!N17</f>
        <v>Ctrace,est (pF)</v>
      </c>
      <c r="D15" s="2">
        <f>HMI!O17</f>
        <v>5</v>
      </c>
      <c r="E15" s="63"/>
      <c r="G15" s="81"/>
      <c r="H15" s="82"/>
      <c r="J15" s="81"/>
      <c r="K15" s="82"/>
      <c r="M15" s="79" t="s">
        <v>293</v>
      </c>
      <c r="N15" s="83">
        <f>1/2/PI()/(N12+N13)/N14/10^-6</f>
        <v>1.6893798842138847</v>
      </c>
      <c r="P15" s="71"/>
      <c r="Q15" s="72"/>
    </row>
    <row r="16" spans="2:17" ht="15" thickBot="1" x14ac:dyDescent="0.4">
      <c r="B16" s="64"/>
      <c r="C16" s="158" t="str">
        <f>HMI!N2</f>
        <v>Rv2 &amp; Rtrace</v>
      </c>
      <c r="D16" s="159"/>
      <c r="E16" s="64"/>
      <c r="G16" s="71"/>
      <c r="H16" s="72"/>
      <c r="J16" s="71"/>
      <c r="K16" s="72"/>
      <c r="M16" s="81"/>
      <c r="N16" s="82"/>
      <c r="P16" s="75"/>
      <c r="Q16" s="76"/>
    </row>
    <row r="17" spans="2:25" ht="15" thickBot="1" x14ac:dyDescent="0.4">
      <c r="B17" s="65"/>
      <c r="C17" s="36" t="str">
        <f>HMI!N4</f>
        <v>Rv2 name</v>
      </c>
      <c r="D17" s="2" t="str">
        <f>HMI!O4</f>
        <v>1kΩ, 2012m</v>
      </c>
      <c r="E17" s="65"/>
      <c r="G17" s="75"/>
      <c r="H17" s="76"/>
      <c r="J17" s="71"/>
      <c r="K17" s="72"/>
      <c r="M17" s="71"/>
      <c r="N17" s="72"/>
    </row>
    <row r="18" spans="2:25" ht="15" thickBot="1" x14ac:dyDescent="0.4">
      <c r="B18" s="63"/>
      <c r="C18" s="36" t="s">
        <v>255</v>
      </c>
      <c r="D18" s="2">
        <f>_xlfn.XLOOKUP(D17, DB_R[Description], DB_R[R (Ω)])</f>
        <v>1000</v>
      </c>
      <c r="E18" s="63"/>
      <c r="J18" s="71"/>
      <c r="K18" s="72"/>
      <c r="M18" s="75"/>
      <c r="N18" s="76"/>
    </row>
    <row r="19" spans="2:25" ht="15" thickBot="1" x14ac:dyDescent="0.4">
      <c r="B19" s="63"/>
      <c r="C19" s="36" t="str">
        <f>HMI!N6</f>
        <v>Radc,ext name</v>
      </c>
      <c r="D19" s="2" t="str">
        <f>HMI!O6</f>
        <v>33Ω, 2012m</v>
      </c>
      <c r="E19" s="64"/>
      <c r="G19" s="68" t="str">
        <f>G6</f>
        <v>Rv1 (Ω)</v>
      </c>
      <c r="H19" s="69">
        <f>H6</f>
        <v>10000</v>
      </c>
      <c r="J19" s="75"/>
      <c r="K19" s="76"/>
    </row>
    <row r="20" spans="2:25" ht="15" thickBot="1" x14ac:dyDescent="0.4">
      <c r="B20" s="63"/>
      <c r="C20" s="36" t="s">
        <v>286</v>
      </c>
      <c r="D20" s="2">
        <f>_xlfn.XLOOKUP(D19, DB_R[Description], DB_R[R (Ω)])</f>
        <v>33</v>
      </c>
      <c r="E20" s="65"/>
      <c r="G20" s="70" t="str">
        <f>C18</f>
        <v>Rv2 (Ω)</v>
      </c>
      <c r="H20" s="61">
        <f>D18</f>
        <v>1000</v>
      </c>
      <c r="M20" s="68" t="str">
        <f>C22</f>
        <v>Cadc,ext (pF)</v>
      </c>
      <c r="N20" s="69">
        <f>D22</f>
        <v>100</v>
      </c>
    </row>
    <row r="21" spans="2:25" x14ac:dyDescent="0.35">
      <c r="B21" s="63"/>
      <c r="C21" s="158" t="s">
        <v>269</v>
      </c>
      <c r="D21" s="159"/>
      <c r="E21" s="65"/>
      <c r="G21" s="70" t="str">
        <f>C5</f>
        <v>Vph spike (V) @ run</v>
      </c>
      <c r="H21" s="61">
        <f>D5</f>
        <v>35</v>
      </c>
      <c r="J21" s="68" t="str">
        <f>G23</f>
        <v>Vdivider,spike (V)</v>
      </c>
      <c r="K21" s="77">
        <f>H23</f>
        <v>3.1818181818181817</v>
      </c>
      <c r="M21" s="70" t="str">
        <f>C23</f>
        <v>Expected derating (%)</v>
      </c>
      <c r="N21" s="61">
        <f>D23</f>
        <v>40</v>
      </c>
      <c r="V21" s="93"/>
      <c r="Y21" s="94"/>
    </row>
    <row r="22" spans="2:25" ht="15" thickBot="1" x14ac:dyDescent="0.4">
      <c r="B22" s="63"/>
      <c r="C22" s="36" t="str">
        <f>HMI!N29</f>
        <v>Cadc,ext (pF)</v>
      </c>
      <c r="D22" s="2">
        <f>HMI!O29</f>
        <v>100</v>
      </c>
      <c r="E22" s="65"/>
      <c r="G22" s="70" t="str">
        <f>C6</f>
        <v>Vbat,typ (V)</v>
      </c>
      <c r="H22" s="61">
        <f>D6</f>
        <v>25.200000000000003</v>
      </c>
      <c r="J22" s="70" t="str">
        <f>C9</f>
        <v>Vref,adc (V)</v>
      </c>
      <c r="K22" s="61">
        <f>D9</f>
        <v>3.3</v>
      </c>
      <c r="M22" s="87" t="s">
        <v>292</v>
      </c>
      <c r="N22" s="88">
        <f>N20*(1-N21%)</f>
        <v>60</v>
      </c>
      <c r="V22" s="94"/>
      <c r="Y22" s="95"/>
    </row>
    <row r="23" spans="2:25" x14ac:dyDescent="0.35">
      <c r="B23" s="63"/>
      <c r="C23" s="36" t="str">
        <f>HMI!N30</f>
        <v>Expected derating (%)</v>
      </c>
      <c r="D23" s="2">
        <f>HMI!O30</f>
        <v>40</v>
      </c>
      <c r="E23" s="65"/>
      <c r="G23" s="73" t="s">
        <v>270</v>
      </c>
      <c r="H23" s="74">
        <f>H20*H21/(H20+H19)</f>
        <v>3.1818181818181817</v>
      </c>
      <c r="J23" s="70" t="str">
        <f>C10</f>
        <v>Resolution (bit)</v>
      </c>
      <c r="K23" s="61">
        <f>D10</f>
        <v>8</v>
      </c>
      <c r="M23" s="81"/>
      <c r="N23" s="82"/>
      <c r="V23" s="95"/>
      <c r="Y23" s="94"/>
    </row>
    <row r="24" spans="2:25" ht="15" thickBot="1" x14ac:dyDescent="0.4">
      <c r="B24" s="63"/>
      <c r="C24" s="36" t="str">
        <f>HMI!N31</f>
        <v>Charge factor (int)</v>
      </c>
      <c r="D24" s="2">
        <f>HMI!O31</f>
        <v>12</v>
      </c>
      <c r="E24" s="65"/>
      <c r="G24" s="79" t="s">
        <v>273</v>
      </c>
      <c r="H24" s="80">
        <f>H20*H22/(H20+H19)</f>
        <v>2.2909090909090915</v>
      </c>
      <c r="J24" s="70" t="str">
        <f>C5</f>
        <v>Vph spike (V) @ run</v>
      </c>
      <c r="K24" s="61">
        <f>D5</f>
        <v>35</v>
      </c>
      <c r="M24" s="75"/>
      <c r="N24" s="76"/>
      <c r="V24" s="96"/>
      <c r="Y24" s="94"/>
    </row>
    <row r="25" spans="2:25" ht="15" thickBot="1" x14ac:dyDescent="0.4">
      <c r="B25" s="63"/>
      <c r="C25" s="36" t="str">
        <f>HMI!N32</f>
        <v>Charge factor (ext)</v>
      </c>
      <c r="D25" s="2">
        <f>HMI!O32</f>
        <v>5</v>
      </c>
      <c r="E25" s="63"/>
      <c r="G25" s="81"/>
      <c r="H25" s="82"/>
      <c r="J25" s="79" t="s">
        <v>284</v>
      </c>
      <c r="K25" s="83">
        <f>K22/K21/(2^K23-1)*K24*1000</f>
        <v>142.35294117647058</v>
      </c>
      <c r="Y25" s="95"/>
    </row>
    <row r="26" spans="2:25" x14ac:dyDescent="0.35">
      <c r="B26" s="63"/>
      <c r="C26" s="63"/>
      <c r="D26" s="63"/>
      <c r="E26" s="63"/>
      <c r="G26" s="71"/>
      <c r="H26" s="72"/>
      <c r="J26" s="81"/>
      <c r="K26" s="82"/>
      <c r="M26" s="68" t="str">
        <f>C25</f>
        <v>Charge factor (ext)</v>
      </c>
      <c r="N26" s="69">
        <f>D25</f>
        <v>5</v>
      </c>
      <c r="Y26" s="95"/>
    </row>
    <row r="27" spans="2:25" x14ac:dyDescent="0.35">
      <c r="B27" s="63"/>
      <c r="C27"/>
      <c r="D27"/>
      <c r="E27" s="63"/>
      <c r="G27" s="71"/>
      <c r="H27" s="72"/>
      <c r="J27" s="71"/>
      <c r="K27" s="72"/>
      <c r="M27" s="70" t="str">
        <f>M12</f>
        <v>Rthvn (Ω)</v>
      </c>
      <c r="N27" s="85">
        <f>N12</f>
        <v>909.09090909090912</v>
      </c>
      <c r="Y27" s="93"/>
    </row>
    <row r="28" spans="2:25" ht="15" thickBot="1" x14ac:dyDescent="0.4">
      <c r="B28" s="63"/>
      <c r="E28" s="63"/>
      <c r="G28" s="71"/>
      <c r="H28" s="72"/>
      <c r="J28" s="75"/>
      <c r="K28" s="76"/>
      <c r="M28" s="70" t="str">
        <f>M13</f>
        <v>Radc,ext (Ω)</v>
      </c>
      <c r="N28" s="61">
        <f>N13</f>
        <v>33</v>
      </c>
    </row>
    <row r="29" spans="2:25" ht="15" thickBot="1" x14ac:dyDescent="0.4">
      <c r="B29" s="63"/>
      <c r="E29" s="63"/>
      <c r="G29" s="75"/>
      <c r="H29" s="76"/>
      <c r="M29" s="70" t="str">
        <f>M22</f>
        <v>Cadc,ext,real (pF)</v>
      </c>
      <c r="N29" s="85">
        <f>N22</f>
        <v>60</v>
      </c>
      <c r="V29" s="96"/>
    </row>
    <row r="30" spans="2:25" ht="15" thickBot="1" x14ac:dyDescent="0.4">
      <c r="B30" s="63"/>
      <c r="E30" s="63"/>
      <c r="M30" s="79" t="s">
        <v>291</v>
      </c>
      <c r="N30" s="83">
        <f>N26*(N27+N28)*N29*10^-3</f>
        <v>282.62727272727278</v>
      </c>
      <c r="V30" s="96"/>
    </row>
    <row r="31" spans="2:25" x14ac:dyDescent="0.35">
      <c r="B31" s="63"/>
      <c r="E31" s="63"/>
      <c r="M31" s="81"/>
      <c r="N31" s="82"/>
      <c r="V31" s="96"/>
    </row>
    <row r="32" spans="2:25" x14ac:dyDescent="0.35">
      <c r="B32" s="63"/>
      <c r="E32" s="63"/>
      <c r="M32" s="71"/>
      <c r="N32" s="72"/>
    </row>
    <row r="33" spans="2:14" ht="15" thickBot="1" x14ac:dyDescent="0.4">
      <c r="B33" s="63"/>
      <c r="E33" s="63"/>
      <c r="M33" s="75"/>
      <c r="N33" s="76"/>
    </row>
    <row r="34" spans="2:14" x14ac:dyDescent="0.35">
      <c r="B34" s="63"/>
      <c r="E34" s="63"/>
    </row>
    <row r="35" spans="2:14" x14ac:dyDescent="0.35">
      <c r="B35" s="63"/>
      <c r="E35" s="63"/>
    </row>
    <row r="36" spans="2:14" x14ac:dyDescent="0.35">
      <c r="B36" s="63"/>
      <c r="E36" s="63"/>
    </row>
    <row r="37" spans="2:14" x14ac:dyDescent="0.35">
      <c r="B37" s="63"/>
      <c r="E37" s="63"/>
    </row>
    <row r="38" spans="2:14" x14ac:dyDescent="0.35">
      <c r="B38" s="63"/>
      <c r="C38" s="63"/>
      <c r="D38" s="63"/>
      <c r="E38" s="63"/>
    </row>
  </sheetData>
  <mergeCells count="4">
    <mergeCell ref="C16:D16"/>
    <mergeCell ref="C21:D21"/>
    <mergeCell ref="C3:D3"/>
    <mergeCell ref="C7:D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99996-B478-42DF-A8D2-7F2DD97B0AD6}">
  <sheetPr codeName="Sheet9">
    <tabColor theme="1" tint="0.499984740745262"/>
  </sheetPr>
  <dimension ref="A1:X7"/>
  <sheetViews>
    <sheetView workbookViewId="0">
      <pane xSplit="1" topLeftCell="L1" activePane="topRight" state="frozen"/>
      <selection pane="topRight" activeCell="X18" sqref="X18"/>
    </sheetView>
  </sheetViews>
  <sheetFormatPr defaultColWidth="10.90625" defaultRowHeight="14.5" x14ac:dyDescent="0.35"/>
  <cols>
    <col min="1" max="1" width="21.08984375" bestFit="1" customWidth="1"/>
    <col min="2" max="2" width="14.08984375" customWidth="1"/>
    <col min="4" max="4" width="12.08984375" customWidth="1"/>
    <col min="5" max="5" width="11.81640625" customWidth="1"/>
    <col min="6" max="6" width="12.81640625" customWidth="1"/>
    <col min="7" max="7" width="12.54296875" customWidth="1"/>
    <col min="8" max="8" width="12.81640625" customWidth="1"/>
    <col min="9" max="9" width="11.90625" customWidth="1"/>
    <col min="10" max="10" width="12.54296875" customWidth="1"/>
    <col min="11" max="11" width="12.1796875" customWidth="1"/>
    <col min="12" max="12" width="13.26953125" bestFit="1" customWidth="1"/>
    <col min="13" max="13" width="19.81640625" bestFit="1" customWidth="1"/>
    <col min="14" max="14" width="19.26953125" bestFit="1" customWidth="1"/>
    <col min="15" max="15" width="23.90625" bestFit="1" customWidth="1"/>
    <col min="16" max="16" width="22.26953125" bestFit="1" customWidth="1"/>
    <col min="17" max="18" width="15.08984375" customWidth="1"/>
    <col min="19" max="20" width="17.26953125" customWidth="1"/>
    <col min="21" max="22" width="18.54296875" customWidth="1"/>
    <col min="24" max="24" width="21.08984375" bestFit="1" customWidth="1"/>
  </cols>
  <sheetData>
    <row r="1" spans="1:24" x14ac:dyDescent="0.35">
      <c r="A1" t="s">
        <v>103</v>
      </c>
      <c r="B1" t="s">
        <v>126</v>
      </c>
      <c r="C1" t="s">
        <v>252</v>
      </c>
      <c r="D1" t="s">
        <v>101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271</v>
      </c>
      <c r="L1" t="s">
        <v>272</v>
      </c>
      <c r="M1" t="s">
        <v>193</v>
      </c>
      <c r="N1" t="s">
        <v>195</v>
      </c>
      <c r="O1" t="s">
        <v>192</v>
      </c>
      <c r="P1" t="s">
        <v>194</v>
      </c>
      <c r="Q1" t="s">
        <v>155</v>
      </c>
      <c r="R1" t="s">
        <v>160</v>
      </c>
      <c r="S1" t="s">
        <v>156</v>
      </c>
      <c r="T1" t="s">
        <v>161</v>
      </c>
      <c r="U1" t="s">
        <v>157</v>
      </c>
      <c r="V1" t="s">
        <v>162</v>
      </c>
      <c r="W1" t="s">
        <v>163</v>
      </c>
      <c r="X1" t="s">
        <v>326</v>
      </c>
    </row>
    <row r="2" spans="1:24" x14ac:dyDescent="0.35">
      <c r="A2" t="s">
        <v>118</v>
      </c>
      <c r="B2">
        <v>6</v>
      </c>
      <c r="C2">
        <v>90</v>
      </c>
      <c r="D2">
        <v>64</v>
      </c>
      <c r="E2">
        <v>24</v>
      </c>
      <c r="F2">
        <v>6</v>
      </c>
      <c r="G2">
        <v>4</v>
      </c>
      <c r="H2">
        <v>4.2</v>
      </c>
      <c r="I2">
        <v>3.7</v>
      </c>
      <c r="J2">
        <v>3.5</v>
      </c>
      <c r="K2">
        <f t="shared" ref="K2:K7" si="0">H2*F2</f>
        <v>25.200000000000003</v>
      </c>
      <c r="L2">
        <f t="shared" ref="L2:L7" si="1">J2*G2</f>
        <v>14</v>
      </c>
      <c r="M2">
        <v>32</v>
      </c>
      <c r="N2">
        <v>35</v>
      </c>
      <c r="O2">
        <v>45</v>
      </c>
      <c r="P2">
        <v>28</v>
      </c>
      <c r="Q2">
        <v>12.5</v>
      </c>
      <c r="R2">
        <v>95</v>
      </c>
      <c r="S2">
        <v>20</v>
      </c>
      <c r="T2">
        <f>100-DB_limits[[#This Row],[ToF Iph typ (%)]]-DB_limits[[#This Row],[ToF Iph spike (%)]]</f>
        <v>4.9000000000000004</v>
      </c>
      <c r="U2">
        <v>50</v>
      </c>
      <c r="V2">
        <v>0.1</v>
      </c>
      <c r="W2">
        <f>DB_limits[[#This Row],[Iph typ (A)]]*DB_limits[[#This Row],[ToF Iph typ (%)]]%+DB_limits[[#This Row],[Iph max (A@Xs)]]*DB_limits[[#This Row],[ToF Iph max (%)]]%+DB_limits[[#This Row],[Iph spike (A@Xms)]]*DB_limits[[#This Row],[ToF Iph spike (%)]]%</f>
        <v>12.905000000000001</v>
      </c>
      <c r="X2" t="s">
        <v>327</v>
      </c>
    </row>
    <row r="3" spans="1:24" x14ac:dyDescent="0.35">
      <c r="A3" t="s">
        <v>191</v>
      </c>
      <c r="B3">
        <v>6</v>
      </c>
      <c r="C3">
        <v>90</v>
      </c>
      <c r="D3">
        <v>48</v>
      </c>
      <c r="E3">
        <v>24</v>
      </c>
      <c r="F3">
        <v>6</v>
      </c>
      <c r="G3">
        <v>4</v>
      </c>
      <c r="H3">
        <v>4.2</v>
      </c>
      <c r="I3">
        <v>3.7</v>
      </c>
      <c r="J3">
        <v>3.5</v>
      </c>
      <c r="K3">
        <f t="shared" si="0"/>
        <v>25.200000000000003</v>
      </c>
      <c r="L3">
        <f t="shared" si="1"/>
        <v>14</v>
      </c>
      <c r="M3">
        <v>32</v>
      </c>
      <c r="N3">
        <v>35</v>
      </c>
      <c r="O3">
        <v>45</v>
      </c>
      <c r="P3">
        <v>28</v>
      </c>
      <c r="Q3">
        <v>12.5</v>
      </c>
      <c r="R3">
        <v>95</v>
      </c>
      <c r="S3">
        <v>20</v>
      </c>
      <c r="T3">
        <f>100-DB_limits[[#This Row],[ToF Iph typ (%)]]-DB_limits[[#This Row],[ToF Iph spike (%)]]</f>
        <v>4.9000000000000004</v>
      </c>
      <c r="U3">
        <v>50</v>
      </c>
      <c r="V3">
        <v>0.1</v>
      </c>
      <c r="W3">
        <f>DB_limits[[#This Row],[Iph typ (A)]]*DB_limits[[#This Row],[ToF Iph typ (%)]]%+DB_limits[[#This Row],[Iph max (A@Xs)]]*DB_limits[[#This Row],[ToF Iph max (%)]]%+DB_limits[[#This Row],[Iph spike (A@Xms)]]*DB_limits[[#This Row],[ToF Iph spike (%)]]%</f>
        <v>12.905000000000001</v>
      </c>
      <c r="X3" t="s">
        <v>327</v>
      </c>
    </row>
    <row r="4" spans="1:24" x14ac:dyDescent="0.35">
      <c r="A4" t="s">
        <v>189</v>
      </c>
      <c r="B4">
        <v>6</v>
      </c>
      <c r="C4">
        <v>90</v>
      </c>
      <c r="D4">
        <v>64</v>
      </c>
      <c r="E4">
        <v>24</v>
      </c>
      <c r="F4">
        <v>6</v>
      </c>
      <c r="G4">
        <v>4</v>
      </c>
      <c r="H4">
        <v>4.2</v>
      </c>
      <c r="I4">
        <v>3.7</v>
      </c>
      <c r="J4">
        <v>3.5</v>
      </c>
      <c r="K4">
        <f t="shared" si="0"/>
        <v>25.200000000000003</v>
      </c>
      <c r="L4">
        <f t="shared" si="1"/>
        <v>14</v>
      </c>
      <c r="M4">
        <v>32</v>
      </c>
      <c r="N4">
        <v>35</v>
      </c>
      <c r="O4">
        <v>45</v>
      </c>
      <c r="P4">
        <v>28</v>
      </c>
      <c r="Q4">
        <v>12.5</v>
      </c>
      <c r="R4">
        <v>85</v>
      </c>
      <c r="S4">
        <v>25</v>
      </c>
      <c r="T4">
        <f>100-DB_limits[[#This Row],[ToF Iph typ (%)]]-DB_limits[[#This Row],[ToF Iph spike (%)]]</f>
        <v>14</v>
      </c>
      <c r="U4">
        <v>50</v>
      </c>
      <c r="V4">
        <v>1</v>
      </c>
      <c r="W4">
        <f>DB_limits[[#This Row],[Iph typ (A)]]*DB_limits[[#This Row],[ToF Iph typ (%)]]%+DB_limits[[#This Row],[Iph max (A@Xs)]]*DB_limits[[#This Row],[ToF Iph max (%)]]%+DB_limits[[#This Row],[Iph spike (A@Xms)]]*DB_limits[[#This Row],[ToF Iph spike (%)]]%</f>
        <v>14.625</v>
      </c>
      <c r="X4" t="s">
        <v>327</v>
      </c>
    </row>
    <row r="5" spans="1:24" x14ac:dyDescent="0.35">
      <c r="A5" t="s">
        <v>190</v>
      </c>
      <c r="B5">
        <v>6</v>
      </c>
      <c r="C5">
        <v>95</v>
      </c>
      <c r="D5">
        <v>64</v>
      </c>
      <c r="E5">
        <v>24</v>
      </c>
      <c r="F5">
        <v>6</v>
      </c>
      <c r="G5">
        <v>4</v>
      </c>
      <c r="H5">
        <v>4.2</v>
      </c>
      <c r="I5">
        <v>3.7</v>
      </c>
      <c r="J5">
        <v>3.5</v>
      </c>
      <c r="K5">
        <f t="shared" si="0"/>
        <v>25.200000000000003</v>
      </c>
      <c r="L5">
        <f t="shared" si="1"/>
        <v>14</v>
      </c>
      <c r="M5">
        <v>32</v>
      </c>
      <c r="N5">
        <v>35</v>
      </c>
      <c r="O5">
        <v>45</v>
      </c>
      <c r="P5">
        <v>28</v>
      </c>
      <c r="Q5">
        <v>12.5</v>
      </c>
      <c r="R5">
        <v>95</v>
      </c>
      <c r="S5">
        <v>20</v>
      </c>
      <c r="T5">
        <f>100-DB_limits[[#This Row],[ToF Iph typ (%)]]-DB_limits[[#This Row],[ToF Iph spike (%)]]</f>
        <v>4.9000000000000004</v>
      </c>
      <c r="U5">
        <v>50</v>
      </c>
      <c r="V5">
        <v>0.1</v>
      </c>
      <c r="W5">
        <f>DB_limits[[#This Row],[Iph typ (A)]]*DB_limits[[#This Row],[ToF Iph typ (%)]]%+DB_limits[[#This Row],[Iph max (A@Xs)]]*DB_limits[[#This Row],[ToF Iph max (%)]]%+DB_limits[[#This Row],[Iph spike (A@Xms)]]*DB_limits[[#This Row],[ToF Iph spike (%)]]%</f>
        <v>12.905000000000001</v>
      </c>
      <c r="X5" t="s">
        <v>327</v>
      </c>
    </row>
    <row r="6" spans="1:24" x14ac:dyDescent="0.35">
      <c r="A6" t="s">
        <v>119</v>
      </c>
      <c r="B6">
        <v>6</v>
      </c>
      <c r="C6">
        <v>95</v>
      </c>
      <c r="D6">
        <v>96</v>
      </c>
      <c r="E6">
        <v>24</v>
      </c>
      <c r="F6">
        <v>6</v>
      </c>
      <c r="G6">
        <v>4</v>
      </c>
      <c r="H6">
        <v>4.2</v>
      </c>
      <c r="I6">
        <v>3.7</v>
      </c>
      <c r="J6">
        <v>3.25</v>
      </c>
      <c r="K6">
        <f t="shared" si="0"/>
        <v>25.200000000000003</v>
      </c>
      <c r="L6">
        <f t="shared" si="1"/>
        <v>13</v>
      </c>
      <c r="M6">
        <v>32</v>
      </c>
      <c r="N6">
        <v>35</v>
      </c>
      <c r="O6">
        <v>45</v>
      </c>
      <c r="P6">
        <v>28</v>
      </c>
      <c r="Q6">
        <v>15</v>
      </c>
      <c r="R6">
        <v>85</v>
      </c>
      <c r="S6">
        <v>25</v>
      </c>
      <c r="T6">
        <f>100-DB_limits[[#This Row],[ToF Iph typ (%)]]-DB_limits[[#This Row],[ToF Iph spike (%)]]</f>
        <v>14</v>
      </c>
      <c r="U6">
        <v>60</v>
      </c>
      <c r="V6">
        <v>1</v>
      </c>
      <c r="W6">
        <f>DB_limits[[#This Row],[Iph typ (A)]]*DB_limits[[#This Row],[ToF Iph typ (%)]]%+DB_limits[[#This Row],[Iph max (A@Xs)]]*DB_limits[[#This Row],[ToF Iph max (%)]]%+DB_limits[[#This Row],[Iph spike (A@Xms)]]*DB_limits[[#This Row],[ToF Iph spike (%)]]%</f>
        <v>16.850000000000001</v>
      </c>
      <c r="X6" t="s">
        <v>328</v>
      </c>
    </row>
    <row r="7" spans="1:24" x14ac:dyDescent="0.35">
      <c r="A7" t="s">
        <v>200</v>
      </c>
      <c r="B7">
        <v>6</v>
      </c>
      <c r="C7">
        <v>90</v>
      </c>
      <c r="D7">
        <v>64</v>
      </c>
      <c r="E7">
        <v>24</v>
      </c>
      <c r="F7">
        <v>6</v>
      </c>
      <c r="G7">
        <v>4</v>
      </c>
      <c r="H7">
        <v>4.2</v>
      </c>
      <c r="I7">
        <v>3.7</v>
      </c>
      <c r="J7">
        <v>3.5</v>
      </c>
      <c r="K7">
        <f t="shared" si="0"/>
        <v>25.200000000000003</v>
      </c>
      <c r="L7">
        <f t="shared" si="1"/>
        <v>14</v>
      </c>
      <c r="M7">
        <v>32</v>
      </c>
      <c r="N7">
        <v>35</v>
      </c>
      <c r="O7">
        <v>45</v>
      </c>
      <c r="P7">
        <v>28</v>
      </c>
      <c r="Q7">
        <v>12.5</v>
      </c>
      <c r="R7">
        <v>85</v>
      </c>
      <c r="S7">
        <v>25</v>
      </c>
      <c r="T7">
        <f>100-DB_limits[[#This Row],[ToF Iph typ (%)]]-DB_limits[[#This Row],[ToF Iph spike (%)]]</f>
        <v>14</v>
      </c>
      <c r="U7">
        <v>50</v>
      </c>
      <c r="V7">
        <v>1</v>
      </c>
      <c r="W7">
        <f>DB_limits[[#This Row],[Iph typ (A)]]*DB_limits[[#This Row],[ToF Iph typ (%)]]%+DB_limits[[#This Row],[Iph max (A@Xs)]]*DB_limits[[#This Row],[ToF Iph max (%)]]%+DB_limits[[#This Row],[Iph spike (A@Xms)]]*DB_limits[[#This Row],[ToF Iph spike (%)]]%</f>
        <v>14.625</v>
      </c>
      <c r="X7" t="s">
        <v>327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E2C8-8C72-4CA2-881E-00A4D34D07F1}">
  <sheetPr codeName="Sheet12">
    <tabColor theme="1" tint="0.499984740745262"/>
  </sheetPr>
  <dimension ref="A1:L20"/>
  <sheetViews>
    <sheetView zoomScale="115" zoomScaleNormal="115" workbookViewId="0">
      <selection activeCell="J32" sqref="J32"/>
    </sheetView>
  </sheetViews>
  <sheetFormatPr defaultRowHeight="14.5" x14ac:dyDescent="0.35"/>
  <cols>
    <col min="1" max="1" width="9" bestFit="1" customWidth="1"/>
    <col min="2" max="2" width="9.7265625" bestFit="1" customWidth="1"/>
    <col min="3" max="3" width="14.26953125" bestFit="1" customWidth="1"/>
    <col min="4" max="4" width="13.81640625" bestFit="1" customWidth="1"/>
    <col min="5" max="5" width="10.1796875" bestFit="1" customWidth="1"/>
    <col min="6" max="6" width="11.08984375" bestFit="1" customWidth="1"/>
    <col min="7" max="7" width="9.6328125" bestFit="1" customWidth="1"/>
  </cols>
  <sheetData>
    <row r="1" spans="1:12" x14ac:dyDescent="0.35">
      <c r="A1" t="s">
        <v>116</v>
      </c>
      <c r="B1" t="s">
        <v>98</v>
      </c>
      <c r="C1" t="s">
        <v>235</v>
      </c>
      <c r="D1" t="s">
        <v>143</v>
      </c>
      <c r="E1" t="s">
        <v>100</v>
      </c>
      <c r="F1" t="s">
        <v>99</v>
      </c>
      <c r="G1" t="s">
        <v>144</v>
      </c>
      <c r="H1" t="s">
        <v>150</v>
      </c>
      <c r="I1" t="s">
        <v>151</v>
      </c>
      <c r="J1" t="s">
        <v>152</v>
      </c>
      <c r="K1" t="s">
        <v>153</v>
      </c>
      <c r="L1" t="s">
        <v>148</v>
      </c>
    </row>
    <row r="2" spans="1:12" x14ac:dyDescent="0.35">
      <c r="A2" t="s">
        <v>204</v>
      </c>
      <c r="B2">
        <v>6</v>
      </c>
      <c r="C2">
        <v>0.5</v>
      </c>
      <c r="D2">
        <v>21.5</v>
      </c>
      <c r="E2">
        <v>0.7</v>
      </c>
      <c r="F2">
        <v>1.25</v>
      </c>
      <c r="G2">
        <v>10</v>
      </c>
      <c r="H2">
        <v>1</v>
      </c>
      <c r="I2">
        <v>1</v>
      </c>
      <c r="J2">
        <v>0.5</v>
      </c>
      <c r="K2">
        <v>0.35</v>
      </c>
      <c r="L2">
        <v>2.15</v>
      </c>
    </row>
    <row r="3" spans="1:12" x14ac:dyDescent="0.35">
      <c r="C3" s="1"/>
      <c r="D3" s="1"/>
    </row>
    <row r="4" spans="1:12" x14ac:dyDescent="0.35">
      <c r="C4" s="1"/>
      <c r="D4" s="1"/>
    </row>
    <row r="7" spans="1:12" x14ac:dyDescent="0.35">
      <c r="D7" s="56"/>
      <c r="E7" s="56"/>
    </row>
    <row r="8" spans="1:12" x14ac:dyDescent="0.35">
      <c r="D8" s="1"/>
      <c r="E8" s="1"/>
    </row>
    <row r="17" spans="8:8" x14ac:dyDescent="0.35">
      <c r="H17" s="36"/>
    </row>
    <row r="18" spans="8:8" x14ac:dyDescent="0.35">
      <c r="H18" s="36"/>
    </row>
    <row r="19" spans="8:8" x14ac:dyDescent="0.35">
      <c r="H19" s="36"/>
    </row>
    <row r="20" spans="8:8" x14ac:dyDescent="0.35">
      <c r="H20" s="36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50DB9-D324-41B0-A143-6FBDE816CD44}">
  <sheetPr codeName="Sheet10">
    <tabColor theme="1" tint="0.499984740745262"/>
  </sheetPr>
  <dimension ref="A1:S97"/>
  <sheetViews>
    <sheetView workbookViewId="0">
      <selection activeCell="J32" sqref="J32"/>
    </sheetView>
  </sheetViews>
  <sheetFormatPr defaultRowHeight="14.5" x14ac:dyDescent="0.35"/>
  <cols>
    <col min="1" max="1" width="13.7265625" bestFit="1" customWidth="1"/>
    <col min="2" max="2" width="7.26953125" bestFit="1" customWidth="1"/>
    <col min="3" max="3" width="8.26953125" bestFit="1" customWidth="1"/>
    <col min="4" max="4" width="17.453125" bestFit="1" customWidth="1"/>
    <col min="5" max="5" width="15.54296875" bestFit="1" customWidth="1"/>
    <col min="6" max="6" width="13.36328125" bestFit="1" customWidth="1"/>
    <col min="7" max="7" width="8" bestFit="1" customWidth="1"/>
  </cols>
  <sheetData>
    <row r="1" spans="1:8" x14ac:dyDescent="0.35">
      <c r="A1" t="s">
        <v>258</v>
      </c>
      <c r="B1" t="s">
        <v>211</v>
      </c>
      <c r="C1" t="s">
        <v>227</v>
      </c>
      <c r="D1" t="s">
        <v>259</v>
      </c>
      <c r="E1" t="s">
        <v>260</v>
      </c>
      <c r="F1" t="s">
        <v>261</v>
      </c>
      <c r="G1" t="s">
        <v>103</v>
      </c>
      <c r="H1" t="s">
        <v>264</v>
      </c>
    </row>
    <row r="2" spans="1:8" x14ac:dyDescent="0.35">
      <c r="A2" t="str">
        <f>IF(B2&gt;=1000,C2&amp; "kΩ, ",B2&amp; "Ω, ")  &amp; DB_R[[#This Row],[Package (m)]]</f>
        <v>10Ω, 2012m</v>
      </c>
      <c r="B2">
        <v>10</v>
      </c>
      <c r="C2">
        <f>DB_R[[#This Row],[R (Ω)]]/1000</f>
        <v>0.01</v>
      </c>
      <c r="D2">
        <v>0.25</v>
      </c>
      <c r="E2" s="62" t="s">
        <v>262</v>
      </c>
      <c r="F2" s="60" t="s">
        <v>263</v>
      </c>
      <c r="H2" t="s">
        <v>266</v>
      </c>
    </row>
    <row r="3" spans="1:8" x14ac:dyDescent="0.35">
      <c r="A3" t="str">
        <f>IF(B3&gt;=1000,C3&amp; "kΩ, ",B3&amp; "Ω, ")  &amp; DB_R[[#This Row],[Package (m)]]</f>
        <v>11Ω, 2012m</v>
      </c>
      <c r="B3">
        <v>11</v>
      </c>
      <c r="C3">
        <f>DB_R[[#This Row],[R (Ω)]]/1000</f>
        <v>1.0999999999999999E-2</v>
      </c>
      <c r="D3">
        <v>0.25</v>
      </c>
      <c r="E3" s="62" t="s">
        <v>262</v>
      </c>
      <c r="F3" s="60" t="s">
        <v>263</v>
      </c>
      <c r="H3" t="s">
        <v>266</v>
      </c>
    </row>
    <row r="4" spans="1:8" x14ac:dyDescent="0.35">
      <c r="A4" t="str">
        <f>IF(B4&gt;=1000,C4&amp; "kΩ, ",B4&amp; "Ω, ")  &amp; DB_R[[#This Row],[Package (m)]]</f>
        <v>12Ω, 2012m</v>
      </c>
      <c r="B4">
        <v>12</v>
      </c>
      <c r="C4">
        <f>DB_R[[#This Row],[R (Ω)]]/1000</f>
        <v>1.2E-2</v>
      </c>
      <c r="D4">
        <v>0.25</v>
      </c>
      <c r="E4" s="62" t="s">
        <v>262</v>
      </c>
      <c r="F4" s="60" t="s">
        <v>263</v>
      </c>
      <c r="H4" t="s">
        <v>266</v>
      </c>
    </row>
    <row r="5" spans="1:8" x14ac:dyDescent="0.35">
      <c r="A5" t="str">
        <f>IF(B5&gt;=1000,C5&amp; "kΩ, ",B5&amp; "Ω, ")  &amp; DB_R[[#This Row],[Package (m)]]</f>
        <v>13Ω, 2012m</v>
      </c>
      <c r="B5">
        <v>13</v>
      </c>
      <c r="C5">
        <f>DB_R[[#This Row],[R (Ω)]]/1000</f>
        <v>1.2999999999999999E-2</v>
      </c>
      <c r="D5">
        <v>0.25</v>
      </c>
      <c r="E5" s="62" t="s">
        <v>262</v>
      </c>
      <c r="F5" s="60" t="s">
        <v>263</v>
      </c>
      <c r="H5" t="s">
        <v>266</v>
      </c>
    </row>
    <row r="6" spans="1:8" x14ac:dyDescent="0.35">
      <c r="A6" t="str">
        <f>IF(B6&gt;=1000,C6&amp; "kΩ, ",B6&amp; "Ω, ")  &amp; DB_R[[#This Row],[Package (m)]]</f>
        <v>15Ω, 2012m</v>
      </c>
      <c r="B6">
        <v>15</v>
      </c>
      <c r="C6">
        <f>DB_R[[#This Row],[R (Ω)]]/1000</f>
        <v>1.4999999999999999E-2</v>
      </c>
      <c r="D6">
        <v>0.25</v>
      </c>
      <c r="E6" s="62" t="s">
        <v>262</v>
      </c>
      <c r="F6" s="60" t="s">
        <v>263</v>
      </c>
      <c r="H6" t="s">
        <v>266</v>
      </c>
    </row>
    <row r="7" spans="1:8" x14ac:dyDescent="0.35">
      <c r="A7" t="str">
        <f>IF(B7&gt;=1000,C7&amp; "kΩ, ",B7&amp; "Ω, ")  &amp; DB_R[[#This Row],[Package (m)]]</f>
        <v>16Ω, 2012m</v>
      </c>
      <c r="B7">
        <v>16</v>
      </c>
      <c r="C7">
        <f>DB_R[[#This Row],[R (Ω)]]/1000</f>
        <v>1.6E-2</v>
      </c>
      <c r="D7">
        <v>0.25</v>
      </c>
      <c r="E7" s="62" t="s">
        <v>262</v>
      </c>
      <c r="F7" s="60" t="s">
        <v>263</v>
      </c>
      <c r="H7" t="s">
        <v>266</v>
      </c>
    </row>
    <row r="8" spans="1:8" x14ac:dyDescent="0.35">
      <c r="A8" t="str">
        <f>IF(B8&gt;=1000,C8&amp; "kΩ, ",B8&amp; "Ω, ")  &amp; DB_R[[#This Row],[Package (m)]]</f>
        <v>18Ω, 2012m</v>
      </c>
      <c r="B8">
        <v>18</v>
      </c>
      <c r="C8">
        <f>DB_R[[#This Row],[R (Ω)]]/1000</f>
        <v>1.7999999999999999E-2</v>
      </c>
      <c r="D8">
        <v>0.25</v>
      </c>
      <c r="E8" s="62" t="s">
        <v>262</v>
      </c>
      <c r="F8" s="60" t="s">
        <v>263</v>
      </c>
      <c r="H8" t="s">
        <v>266</v>
      </c>
    </row>
    <row r="9" spans="1:8" x14ac:dyDescent="0.35">
      <c r="A9" t="str">
        <f>IF(B9&gt;=1000,C9&amp; "kΩ, ",B9&amp; "Ω, ")  &amp; DB_R[[#This Row],[Package (m)]]</f>
        <v>20Ω, 2012m</v>
      </c>
      <c r="B9">
        <v>20</v>
      </c>
      <c r="C9">
        <f>DB_R[[#This Row],[R (Ω)]]/1000</f>
        <v>0.02</v>
      </c>
      <c r="D9">
        <v>0.25</v>
      </c>
      <c r="E9" s="62" t="s">
        <v>262</v>
      </c>
      <c r="F9" s="60" t="s">
        <v>263</v>
      </c>
      <c r="H9" t="s">
        <v>266</v>
      </c>
    </row>
    <row r="10" spans="1:8" x14ac:dyDescent="0.35">
      <c r="A10" t="str">
        <f>IF(B10&gt;=1000,C10&amp; "kΩ, ",B10&amp; "Ω, ")  &amp; DB_R[[#This Row],[Package (m)]]</f>
        <v>22Ω, 2012m</v>
      </c>
      <c r="B10">
        <v>22</v>
      </c>
      <c r="C10">
        <f>DB_R[[#This Row],[R (Ω)]]/1000</f>
        <v>2.1999999999999999E-2</v>
      </c>
      <c r="D10">
        <v>0.25</v>
      </c>
      <c r="E10" s="62" t="s">
        <v>262</v>
      </c>
      <c r="F10" s="60" t="s">
        <v>263</v>
      </c>
      <c r="H10" t="s">
        <v>266</v>
      </c>
    </row>
    <row r="11" spans="1:8" x14ac:dyDescent="0.35">
      <c r="A11" t="str">
        <f>IF(B11&gt;=1000,C11&amp; "kΩ, ",B11&amp; "Ω, ")  &amp; DB_R[[#This Row],[Package (m)]]</f>
        <v>24Ω, 2012m</v>
      </c>
      <c r="B11">
        <v>24</v>
      </c>
      <c r="C11">
        <f>DB_R[[#This Row],[R (Ω)]]/1000</f>
        <v>2.4E-2</v>
      </c>
      <c r="D11">
        <v>0.25</v>
      </c>
      <c r="E11" s="62" t="s">
        <v>262</v>
      </c>
      <c r="F11" s="60" t="s">
        <v>263</v>
      </c>
      <c r="H11" t="s">
        <v>266</v>
      </c>
    </row>
    <row r="12" spans="1:8" x14ac:dyDescent="0.35">
      <c r="A12" t="str">
        <f>IF(B12&gt;=1000,C12&amp; "kΩ, ",B12&amp; "Ω, ")  &amp; DB_R[[#This Row],[Package (m)]]</f>
        <v>27Ω, 2012m</v>
      </c>
      <c r="B12">
        <v>27</v>
      </c>
      <c r="C12">
        <f>DB_R[[#This Row],[R (Ω)]]/1000</f>
        <v>2.7E-2</v>
      </c>
      <c r="D12">
        <v>0.25</v>
      </c>
      <c r="E12" s="62" t="s">
        <v>262</v>
      </c>
      <c r="F12" s="60" t="s">
        <v>263</v>
      </c>
      <c r="H12" t="s">
        <v>266</v>
      </c>
    </row>
    <row r="13" spans="1:8" x14ac:dyDescent="0.35">
      <c r="A13" t="str">
        <f>IF(B13&gt;=1000,C13&amp; "kΩ, ",B13&amp; "Ω, ")  &amp; DB_R[[#This Row],[Package (m)]]</f>
        <v>30Ω, 2012m</v>
      </c>
      <c r="B13">
        <v>30</v>
      </c>
      <c r="C13">
        <f>DB_R[[#This Row],[R (Ω)]]/1000</f>
        <v>0.03</v>
      </c>
      <c r="D13">
        <v>0.25</v>
      </c>
      <c r="E13" s="62" t="s">
        <v>262</v>
      </c>
      <c r="F13" s="60" t="s">
        <v>263</v>
      </c>
      <c r="H13" t="s">
        <v>266</v>
      </c>
    </row>
    <row r="14" spans="1:8" x14ac:dyDescent="0.35">
      <c r="A14" t="str">
        <f>IF(B14&gt;=1000,C14&amp; "kΩ, ",B14&amp; "Ω, ")  &amp; DB_R[[#This Row],[Package (m)]]</f>
        <v>33Ω, 2012m</v>
      </c>
      <c r="B14">
        <v>33</v>
      </c>
      <c r="C14">
        <f>DB_R[[#This Row],[R (Ω)]]/1000</f>
        <v>3.3000000000000002E-2</v>
      </c>
      <c r="D14">
        <v>0.25</v>
      </c>
      <c r="E14" s="62" t="s">
        <v>262</v>
      </c>
      <c r="F14" s="60" t="s">
        <v>263</v>
      </c>
      <c r="H14" t="s">
        <v>266</v>
      </c>
    </row>
    <row r="15" spans="1:8" x14ac:dyDescent="0.35">
      <c r="A15" t="str">
        <f>IF(B15&gt;=1000,C15&amp; "kΩ, ",B15&amp; "Ω, ")  &amp; DB_R[[#This Row],[Package (m)]]</f>
        <v>47Ω, 2012m</v>
      </c>
      <c r="B15">
        <v>47</v>
      </c>
      <c r="C15">
        <f>DB_R[[#This Row],[R (Ω)]]/1000</f>
        <v>4.7E-2</v>
      </c>
      <c r="D15">
        <v>0.25</v>
      </c>
      <c r="E15" s="62" t="s">
        <v>262</v>
      </c>
      <c r="F15" s="60" t="s">
        <v>263</v>
      </c>
      <c r="H15" t="s">
        <v>266</v>
      </c>
    </row>
    <row r="16" spans="1:8" x14ac:dyDescent="0.35">
      <c r="A16" t="str">
        <f>IF(B16&gt;=1000,C16&amp; "kΩ, ",B16&amp; "Ω, ")  &amp; DB_R[[#This Row],[Package (m)]]</f>
        <v>51Ω, 2012m</v>
      </c>
      <c r="B16">
        <v>51</v>
      </c>
      <c r="C16">
        <f>DB_R[[#This Row],[R (Ω)]]/1000</f>
        <v>5.0999999999999997E-2</v>
      </c>
      <c r="D16">
        <v>0.25</v>
      </c>
      <c r="E16" s="62" t="s">
        <v>262</v>
      </c>
      <c r="F16" s="60" t="s">
        <v>263</v>
      </c>
      <c r="H16" t="s">
        <v>266</v>
      </c>
    </row>
    <row r="17" spans="1:8" x14ac:dyDescent="0.35">
      <c r="A17" t="str">
        <f>IF(B17&gt;=1000,C17&amp; "kΩ, ",B17&amp; "Ω, ")  &amp; DB_R[[#This Row],[Package (m)]]</f>
        <v>56Ω, 2012m</v>
      </c>
      <c r="B17">
        <v>56</v>
      </c>
      <c r="C17">
        <f>DB_R[[#This Row],[R (Ω)]]/1000</f>
        <v>5.6000000000000001E-2</v>
      </c>
      <c r="D17">
        <v>0.25</v>
      </c>
      <c r="E17" s="62" t="s">
        <v>262</v>
      </c>
      <c r="F17" s="60" t="s">
        <v>263</v>
      </c>
      <c r="H17" t="s">
        <v>266</v>
      </c>
    </row>
    <row r="18" spans="1:8" x14ac:dyDescent="0.35">
      <c r="A18" t="str">
        <f>IF(B18&gt;=1000,C18&amp; "kΩ, ",B18&amp; "Ω, ")  &amp; DB_R[[#This Row],[Package (m)]]</f>
        <v>62Ω, 2012m</v>
      </c>
      <c r="B18">
        <v>62</v>
      </c>
      <c r="C18">
        <f>DB_R[[#This Row],[R (Ω)]]/1000</f>
        <v>6.2E-2</v>
      </c>
      <c r="D18">
        <v>0.25</v>
      </c>
      <c r="E18" s="62" t="s">
        <v>262</v>
      </c>
      <c r="F18" s="60" t="s">
        <v>263</v>
      </c>
      <c r="H18" t="s">
        <v>266</v>
      </c>
    </row>
    <row r="19" spans="1:8" x14ac:dyDescent="0.35">
      <c r="A19" t="str">
        <f>IF(B19&gt;=1000,C19&amp; "kΩ, ",B19&amp; "Ω, ")  &amp; DB_R[[#This Row],[Package (m)]]</f>
        <v>68Ω, 2012m</v>
      </c>
      <c r="B19">
        <v>68</v>
      </c>
      <c r="C19">
        <f>DB_R[[#This Row],[R (Ω)]]/1000</f>
        <v>6.8000000000000005E-2</v>
      </c>
      <c r="D19">
        <v>0.25</v>
      </c>
      <c r="E19" s="62" t="s">
        <v>262</v>
      </c>
      <c r="F19" s="60" t="s">
        <v>263</v>
      </c>
      <c r="H19" t="s">
        <v>266</v>
      </c>
    </row>
    <row r="20" spans="1:8" x14ac:dyDescent="0.35">
      <c r="A20" t="str">
        <f>IF(B20&gt;=1000,C20&amp; "kΩ, ",B20&amp; "Ω, ")  &amp; DB_R[[#This Row],[Package (m)]]</f>
        <v>75Ω, 2012m</v>
      </c>
      <c r="B20">
        <v>75</v>
      </c>
      <c r="C20">
        <f>DB_R[[#This Row],[R (Ω)]]/1000</f>
        <v>7.4999999999999997E-2</v>
      </c>
      <c r="D20">
        <v>0.25</v>
      </c>
      <c r="E20" s="62" t="s">
        <v>262</v>
      </c>
      <c r="F20" s="60" t="s">
        <v>263</v>
      </c>
      <c r="H20" t="s">
        <v>266</v>
      </c>
    </row>
    <row r="21" spans="1:8" x14ac:dyDescent="0.35">
      <c r="A21" t="str">
        <f>IF(B21&gt;=1000,C21&amp; "kΩ, ",B21&amp; "Ω, ")  &amp; DB_R[[#This Row],[Package (m)]]</f>
        <v>82Ω, 2012m</v>
      </c>
      <c r="B21">
        <v>82</v>
      </c>
      <c r="C21">
        <f>DB_R[[#This Row],[R (Ω)]]/1000</f>
        <v>8.2000000000000003E-2</v>
      </c>
      <c r="D21">
        <v>0.25</v>
      </c>
      <c r="E21" s="62" t="s">
        <v>262</v>
      </c>
      <c r="F21" s="60" t="s">
        <v>263</v>
      </c>
      <c r="H21" t="s">
        <v>266</v>
      </c>
    </row>
    <row r="22" spans="1:8" x14ac:dyDescent="0.35">
      <c r="A22" t="str">
        <f>IF(B22&gt;=1000,C22&amp; "kΩ, ",B22&amp; "Ω, ")  &amp; DB_R[[#This Row],[Package (m)]]</f>
        <v>91Ω, 2012m</v>
      </c>
      <c r="B22">
        <v>91</v>
      </c>
      <c r="C22">
        <f>DB_R[[#This Row],[R (Ω)]]/1000</f>
        <v>9.0999999999999998E-2</v>
      </c>
      <c r="D22">
        <v>0.25</v>
      </c>
      <c r="E22" s="62" t="s">
        <v>262</v>
      </c>
      <c r="F22" s="60" t="s">
        <v>263</v>
      </c>
      <c r="H22" t="s">
        <v>266</v>
      </c>
    </row>
    <row r="23" spans="1:8" x14ac:dyDescent="0.35">
      <c r="A23" t="str">
        <f>IF(B23&gt;=1000,C23&amp; "kΩ, ",B23&amp; "Ω, ")  &amp; DB_R[[#This Row],[Package (m)]]</f>
        <v>100Ω, 2012m</v>
      </c>
      <c r="B23">
        <v>100</v>
      </c>
      <c r="C23">
        <f>DB_R[[#This Row],[R (Ω)]]/1000</f>
        <v>0.1</v>
      </c>
      <c r="D23">
        <v>0.25</v>
      </c>
      <c r="E23" s="62" t="s">
        <v>262</v>
      </c>
      <c r="F23" s="60" t="s">
        <v>263</v>
      </c>
      <c r="H23" t="s">
        <v>266</v>
      </c>
    </row>
    <row r="24" spans="1:8" x14ac:dyDescent="0.35">
      <c r="A24" t="str">
        <f>IF(B24&gt;=1000,C24&amp; "kΩ, ",B24&amp; "Ω, ")  &amp; DB_R[[#This Row],[Package (m)]]</f>
        <v>110Ω, 2012m</v>
      </c>
      <c r="B24">
        <v>110</v>
      </c>
      <c r="C24">
        <f>DB_R[[#This Row],[R (Ω)]]/1000</f>
        <v>0.11</v>
      </c>
      <c r="D24">
        <v>0.25</v>
      </c>
      <c r="E24" s="62" t="s">
        <v>262</v>
      </c>
      <c r="F24" s="60" t="s">
        <v>263</v>
      </c>
      <c r="H24" t="s">
        <v>266</v>
      </c>
    </row>
    <row r="25" spans="1:8" x14ac:dyDescent="0.35">
      <c r="A25" t="str">
        <f>IF(B25&gt;=1000,C25&amp; "kΩ, ",B25&amp; "Ω, ")  &amp; DB_R[[#This Row],[Package (m)]]</f>
        <v>120Ω, 2012m</v>
      </c>
      <c r="B25">
        <v>120</v>
      </c>
      <c r="C25">
        <f>DB_R[[#This Row],[R (Ω)]]/1000</f>
        <v>0.12</v>
      </c>
      <c r="D25">
        <v>0.25</v>
      </c>
      <c r="E25" s="62" t="s">
        <v>262</v>
      </c>
      <c r="F25" s="60" t="s">
        <v>263</v>
      </c>
      <c r="H25" t="s">
        <v>266</v>
      </c>
    </row>
    <row r="26" spans="1:8" x14ac:dyDescent="0.35">
      <c r="A26" t="str">
        <f>IF(B26&gt;=1000,C26&amp; "kΩ, ",B26&amp; "Ω, ")  &amp; DB_R[[#This Row],[Package (m)]]</f>
        <v>130Ω, 2012m</v>
      </c>
      <c r="B26">
        <v>130</v>
      </c>
      <c r="C26">
        <f>DB_R[[#This Row],[R (Ω)]]/1000</f>
        <v>0.13</v>
      </c>
      <c r="D26">
        <v>0.25</v>
      </c>
      <c r="E26" s="62" t="s">
        <v>262</v>
      </c>
      <c r="F26" s="60" t="s">
        <v>263</v>
      </c>
      <c r="H26" t="s">
        <v>266</v>
      </c>
    </row>
    <row r="27" spans="1:8" x14ac:dyDescent="0.35">
      <c r="A27" t="str">
        <f>IF(B27&gt;=1000,C27&amp; "kΩ, ",B27&amp; "Ω, ")  &amp; DB_R[[#This Row],[Package (m)]]</f>
        <v>150Ω, 2012m</v>
      </c>
      <c r="B27">
        <v>150</v>
      </c>
      <c r="C27">
        <f>DB_R[[#This Row],[R (Ω)]]/1000</f>
        <v>0.15</v>
      </c>
      <c r="D27">
        <v>0.25</v>
      </c>
      <c r="E27" s="62" t="s">
        <v>262</v>
      </c>
      <c r="F27" s="60" t="s">
        <v>263</v>
      </c>
      <c r="H27" t="s">
        <v>266</v>
      </c>
    </row>
    <row r="28" spans="1:8" x14ac:dyDescent="0.35">
      <c r="A28" t="str">
        <f>IF(B28&gt;=1000,C28&amp; "kΩ, ",B28&amp; "Ω, ")  &amp; DB_R[[#This Row],[Package (m)]]</f>
        <v>160Ω, 2012m</v>
      </c>
      <c r="B28">
        <v>160</v>
      </c>
      <c r="C28">
        <f>DB_R[[#This Row],[R (Ω)]]/1000</f>
        <v>0.16</v>
      </c>
      <c r="D28">
        <v>0.25</v>
      </c>
      <c r="E28" s="62" t="s">
        <v>262</v>
      </c>
      <c r="F28" s="60" t="s">
        <v>263</v>
      </c>
      <c r="H28" t="s">
        <v>266</v>
      </c>
    </row>
    <row r="29" spans="1:8" x14ac:dyDescent="0.35">
      <c r="A29" t="str">
        <f>IF(B29&gt;=1000,C29&amp; "kΩ, ",B29&amp; "Ω, ")  &amp; DB_R[[#This Row],[Package (m)]]</f>
        <v>180Ω, 2012m</v>
      </c>
      <c r="B29">
        <v>180</v>
      </c>
      <c r="C29">
        <f>DB_R[[#This Row],[R (Ω)]]/1000</f>
        <v>0.18</v>
      </c>
      <c r="D29">
        <v>0.25</v>
      </c>
      <c r="E29" s="62" t="s">
        <v>262</v>
      </c>
      <c r="F29" s="60" t="s">
        <v>263</v>
      </c>
      <c r="H29" t="s">
        <v>266</v>
      </c>
    </row>
    <row r="30" spans="1:8" x14ac:dyDescent="0.35">
      <c r="A30" t="str">
        <f>IF(B30&gt;=1000,C30&amp; "kΩ, ",B30&amp; "Ω, ")  &amp; DB_R[[#This Row],[Package (m)]]</f>
        <v>200Ω, 2012m</v>
      </c>
      <c r="B30">
        <v>200</v>
      </c>
      <c r="C30">
        <f>DB_R[[#This Row],[R (Ω)]]/1000</f>
        <v>0.2</v>
      </c>
      <c r="D30">
        <v>0.25</v>
      </c>
      <c r="E30" s="62" t="s">
        <v>262</v>
      </c>
      <c r="F30" s="60" t="s">
        <v>263</v>
      </c>
      <c r="H30" t="s">
        <v>266</v>
      </c>
    </row>
    <row r="31" spans="1:8" x14ac:dyDescent="0.35">
      <c r="A31" t="str">
        <f>IF(B31&gt;=1000,C31&amp; "kΩ, ",B31&amp; "Ω, ")  &amp; DB_R[[#This Row],[Package (m)]]</f>
        <v>220Ω, 2012m</v>
      </c>
      <c r="B31">
        <v>220</v>
      </c>
      <c r="C31">
        <f>DB_R[[#This Row],[R (Ω)]]/1000</f>
        <v>0.22</v>
      </c>
      <c r="D31">
        <v>0.25</v>
      </c>
      <c r="E31" s="62" t="s">
        <v>262</v>
      </c>
      <c r="F31" s="60" t="s">
        <v>263</v>
      </c>
      <c r="H31" t="s">
        <v>266</v>
      </c>
    </row>
    <row r="32" spans="1:8" x14ac:dyDescent="0.35">
      <c r="A32" t="str">
        <f>IF(B32&gt;=1000,C32&amp; "kΩ, ",B32&amp; "Ω, ")  &amp; DB_R[[#This Row],[Package (m)]]</f>
        <v>240Ω, 2012m</v>
      </c>
      <c r="B32">
        <v>240</v>
      </c>
      <c r="C32">
        <f>DB_R[[#This Row],[R (Ω)]]/1000</f>
        <v>0.24</v>
      </c>
      <c r="D32">
        <v>0.25</v>
      </c>
      <c r="E32" s="62" t="s">
        <v>262</v>
      </c>
      <c r="F32" s="60" t="s">
        <v>263</v>
      </c>
      <c r="H32" t="s">
        <v>266</v>
      </c>
    </row>
    <row r="33" spans="1:19" x14ac:dyDescent="0.35">
      <c r="A33" t="str">
        <f>IF(B33&gt;=1000,C33&amp; "kΩ, ",B33&amp; "Ω, ")  &amp; DB_R[[#This Row],[Package (m)]]</f>
        <v>270Ω, 2012m</v>
      </c>
      <c r="B33">
        <v>270</v>
      </c>
      <c r="C33">
        <f>DB_R[[#This Row],[R (Ω)]]/1000</f>
        <v>0.27</v>
      </c>
      <c r="D33">
        <v>0.25</v>
      </c>
      <c r="E33" s="62" t="s">
        <v>262</v>
      </c>
      <c r="F33" s="60" t="s">
        <v>263</v>
      </c>
      <c r="H33" t="s">
        <v>266</v>
      </c>
    </row>
    <row r="34" spans="1:19" x14ac:dyDescent="0.35">
      <c r="A34" t="str">
        <f>IF(B34&gt;=1000,C34&amp; "kΩ, ",B34&amp; "Ω, ")  &amp; DB_R[[#This Row],[Package (m)]]</f>
        <v>300Ω, 2012m</v>
      </c>
      <c r="B34">
        <v>300</v>
      </c>
      <c r="C34">
        <f>DB_R[[#This Row],[R (Ω)]]/1000</f>
        <v>0.3</v>
      </c>
      <c r="D34">
        <v>0.25</v>
      </c>
      <c r="E34" s="62" t="s">
        <v>262</v>
      </c>
      <c r="F34" s="60" t="s">
        <v>263</v>
      </c>
      <c r="H34" t="s">
        <v>266</v>
      </c>
    </row>
    <row r="35" spans="1:19" x14ac:dyDescent="0.35">
      <c r="A35" t="str">
        <f>IF(B35&gt;=1000,C35&amp; "kΩ, ",B35&amp; "Ω, ")  &amp; DB_R[[#This Row],[Package (m)]]</f>
        <v>330Ω, 2012m</v>
      </c>
      <c r="B35">
        <v>330</v>
      </c>
      <c r="C35">
        <f>DB_R[[#This Row],[R (Ω)]]/1000</f>
        <v>0.33</v>
      </c>
      <c r="D35">
        <v>0.25</v>
      </c>
      <c r="E35" s="62" t="s">
        <v>262</v>
      </c>
      <c r="F35" s="60" t="s">
        <v>263</v>
      </c>
      <c r="H35" t="s">
        <v>266</v>
      </c>
    </row>
    <row r="36" spans="1:19" x14ac:dyDescent="0.35">
      <c r="A36" t="str">
        <f>IF(B36&gt;=1000,C36&amp; "kΩ, ",B36&amp; "Ω, ")  &amp; DB_R[[#This Row],[Package (m)]]</f>
        <v>360Ω, 2012m</v>
      </c>
      <c r="B36">
        <v>360</v>
      </c>
      <c r="C36">
        <f>DB_R[[#This Row],[R (Ω)]]/1000</f>
        <v>0.36</v>
      </c>
      <c r="D36">
        <v>0.25</v>
      </c>
      <c r="E36" s="62" t="s">
        <v>262</v>
      </c>
      <c r="F36" s="60" t="s">
        <v>263</v>
      </c>
      <c r="H36" t="s">
        <v>266</v>
      </c>
    </row>
    <row r="37" spans="1:19" x14ac:dyDescent="0.35">
      <c r="A37" t="str">
        <f>IF(B37&gt;=1000,C37&amp; "kΩ, ",B37&amp; "Ω, ")  &amp; DB_R[[#This Row],[Package (m)]]</f>
        <v>390Ω, 2012m</v>
      </c>
      <c r="B37">
        <v>390</v>
      </c>
      <c r="C37">
        <f>DB_R[[#This Row],[R (Ω)]]/1000</f>
        <v>0.39</v>
      </c>
      <c r="D37">
        <v>0.25</v>
      </c>
      <c r="E37" s="62" t="s">
        <v>262</v>
      </c>
      <c r="F37" s="60" t="s">
        <v>263</v>
      </c>
      <c r="H37" t="s">
        <v>266</v>
      </c>
    </row>
    <row r="38" spans="1:19" x14ac:dyDescent="0.35">
      <c r="A38" t="str">
        <f>IF(B38&gt;=1000,C38&amp; "kΩ, ",B38&amp; "Ω, ")  &amp; DB_R[[#This Row],[Package (m)]]</f>
        <v>430Ω, 2012m</v>
      </c>
      <c r="B38">
        <v>430</v>
      </c>
      <c r="C38">
        <f>DB_R[[#This Row],[R (Ω)]]/1000</f>
        <v>0.43</v>
      </c>
      <c r="D38">
        <v>0.25</v>
      </c>
      <c r="E38" s="62" t="s">
        <v>262</v>
      </c>
      <c r="F38" s="60" t="s">
        <v>263</v>
      </c>
      <c r="H38" t="s">
        <v>266</v>
      </c>
    </row>
    <row r="39" spans="1:19" x14ac:dyDescent="0.35">
      <c r="A39" t="str">
        <f>IF(B39&gt;=1000,C39&amp; "kΩ, ",B39&amp; "Ω, ")  &amp; DB_R[[#This Row],[Package (m)]]</f>
        <v>470Ω, 2012m</v>
      </c>
      <c r="B39">
        <v>470</v>
      </c>
      <c r="C39">
        <f>DB_R[[#This Row],[R (Ω)]]/1000</f>
        <v>0.47</v>
      </c>
      <c r="D39">
        <v>0.25</v>
      </c>
      <c r="E39" s="62" t="s">
        <v>262</v>
      </c>
      <c r="F39" s="60" t="s">
        <v>263</v>
      </c>
      <c r="H39" t="s">
        <v>266</v>
      </c>
    </row>
    <row r="40" spans="1:19" x14ac:dyDescent="0.35">
      <c r="A40" t="str">
        <f>IF(B40&gt;=1000,C40&amp; "kΩ, ",B40&amp; "Ω, ")  &amp; DB_R[[#This Row],[Package (m)]]</f>
        <v>510Ω, 2012m</v>
      </c>
      <c r="B40">
        <v>510</v>
      </c>
      <c r="C40">
        <f>DB_R[[#This Row],[R (Ω)]]/1000</f>
        <v>0.51</v>
      </c>
      <c r="D40">
        <v>0.25</v>
      </c>
      <c r="E40" s="62" t="s">
        <v>262</v>
      </c>
      <c r="F40" s="60" t="s">
        <v>263</v>
      </c>
      <c r="H40" t="s">
        <v>266</v>
      </c>
    </row>
    <row r="41" spans="1:19" x14ac:dyDescent="0.35">
      <c r="A41" t="str">
        <f>IF(B41&gt;=1000,C41&amp; "kΩ, ",B41&amp; "Ω, ")  &amp; DB_R[[#This Row],[Package (m)]]</f>
        <v>560Ω, 2012m</v>
      </c>
      <c r="B41">
        <v>560</v>
      </c>
      <c r="C41">
        <f>DB_R[[#This Row],[R (Ω)]]/1000</f>
        <v>0.56000000000000005</v>
      </c>
      <c r="D41">
        <v>0.25</v>
      </c>
      <c r="E41" s="62" t="s">
        <v>262</v>
      </c>
      <c r="F41" s="60" t="s">
        <v>263</v>
      </c>
      <c r="H41" t="s">
        <v>266</v>
      </c>
    </row>
    <row r="42" spans="1:19" x14ac:dyDescent="0.35">
      <c r="A42" t="str">
        <f>IF(B42&gt;=1000,C42&amp; "kΩ, ",B42&amp; "Ω, ")  &amp; DB_R[[#This Row],[Package (m)]]</f>
        <v>620Ω, 2012m</v>
      </c>
      <c r="B42">
        <v>620</v>
      </c>
      <c r="C42">
        <f>DB_R[[#This Row],[R (Ω)]]/1000</f>
        <v>0.62</v>
      </c>
      <c r="D42">
        <v>0.25</v>
      </c>
      <c r="E42" s="62" t="s">
        <v>262</v>
      </c>
      <c r="F42" s="60" t="s">
        <v>263</v>
      </c>
      <c r="H42" t="s">
        <v>266</v>
      </c>
      <c r="R42" s="60"/>
      <c r="S42" s="60"/>
    </row>
    <row r="43" spans="1:19" x14ac:dyDescent="0.35">
      <c r="A43" t="str">
        <f>IF(B43&gt;=1000,C43&amp; "kΩ, ",B43&amp; "Ω, ")  &amp; DB_R[[#This Row],[Package (m)]]</f>
        <v>680Ω, 2012m</v>
      </c>
      <c r="B43">
        <v>680</v>
      </c>
      <c r="C43">
        <f>DB_R[[#This Row],[R (Ω)]]/1000</f>
        <v>0.68</v>
      </c>
      <c r="D43">
        <v>0.25</v>
      </c>
      <c r="E43" s="62" t="s">
        <v>262</v>
      </c>
      <c r="F43" s="60" t="s">
        <v>263</v>
      </c>
      <c r="H43" t="s">
        <v>266</v>
      </c>
      <c r="R43" s="60"/>
      <c r="S43" s="60"/>
    </row>
    <row r="44" spans="1:19" x14ac:dyDescent="0.35">
      <c r="A44" t="str">
        <f>IF(B44&gt;=1000,C44&amp; "kΩ, ",B44&amp; "Ω, ")  &amp; DB_R[[#This Row],[Package (m)]]</f>
        <v>750Ω, 2012m</v>
      </c>
      <c r="B44">
        <v>750</v>
      </c>
      <c r="C44">
        <f>DB_R[[#This Row],[R (Ω)]]/1000</f>
        <v>0.75</v>
      </c>
      <c r="D44">
        <v>0.25</v>
      </c>
      <c r="E44" s="62" t="s">
        <v>262</v>
      </c>
      <c r="F44" s="60" t="s">
        <v>263</v>
      </c>
      <c r="H44" t="s">
        <v>266</v>
      </c>
      <c r="R44" s="60"/>
      <c r="S44" s="60"/>
    </row>
    <row r="45" spans="1:19" x14ac:dyDescent="0.35">
      <c r="A45" t="str">
        <f>IF(B45&gt;=1000,C45&amp; "kΩ, ",B45&amp; "Ω, ")  &amp; DB_R[[#This Row],[Package (m)]]</f>
        <v>820Ω, 2012m</v>
      </c>
      <c r="B45">
        <v>820</v>
      </c>
      <c r="C45">
        <f>DB_R[[#This Row],[R (Ω)]]/1000</f>
        <v>0.82</v>
      </c>
      <c r="D45">
        <v>0.25</v>
      </c>
      <c r="E45" s="62" t="s">
        <v>262</v>
      </c>
      <c r="F45" s="60" t="s">
        <v>263</v>
      </c>
      <c r="H45" t="s">
        <v>266</v>
      </c>
      <c r="R45" s="60"/>
      <c r="S45" s="60"/>
    </row>
    <row r="46" spans="1:19" x14ac:dyDescent="0.35">
      <c r="A46" t="str">
        <f>IF(B46&gt;=1000,C46&amp; "kΩ, ",B46&amp; "Ω, ")  &amp; DB_R[[#This Row],[Package (m)]]</f>
        <v>910Ω, 2012m</v>
      </c>
      <c r="B46">
        <v>910</v>
      </c>
      <c r="C46">
        <f>DB_R[[#This Row],[R (Ω)]]/1000</f>
        <v>0.91</v>
      </c>
      <c r="D46">
        <v>0.25</v>
      </c>
      <c r="E46" s="62" t="s">
        <v>262</v>
      </c>
      <c r="F46" s="60" t="s">
        <v>263</v>
      </c>
      <c r="H46" t="s">
        <v>266</v>
      </c>
      <c r="R46" s="60"/>
      <c r="S46" s="60"/>
    </row>
    <row r="47" spans="1:19" x14ac:dyDescent="0.35">
      <c r="A47" t="str">
        <f>IF(B47&gt;=1000,C47&amp; "kΩ, ",B47&amp; "Ω, ")  &amp; DB_R[[#This Row],[Package (m)]]</f>
        <v>1kΩ, 2012m</v>
      </c>
      <c r="B47">
        <v>1000</v>
      </c>
      <c r="C47">
        <f>DB_R[[#This Row],[R (Ω)]]/1000</f>
        <v>1</v>
      </c>
      <c r="D47">
        <v>0.25</v>
      </c>
      <c r="E47" s="62" t="s">
        <v>262</v>
      </c>
      <c r="F47" s="60" t="s">
        <v>263</v>
      </c>
      <c r="H47" t="s">
        <v>266</v>
      </c>
      <c r="R47" s="60"/>
      <c r="S47" s="60"/>
    </row>
    <row r="48" spans="1:19" x14ac:dyDescent="0.35">
      <c r="A48" t="str">
        <f>IF(B48&gt;=1000,C48&amp; "kΩ, ",B48&amp; "Ω, ")  &amp; DB_R[[#This Row],[Package (m)]]</f>
        <v>1.1kΩ, 2012m</v>
      </c>
      <c r="B48">
        <v>1100</v>
      </c>
      <c r="C48">
        <f>DB_R[[#This Row],[R (Ω)]]/1000</f>
        <v>1.1000000000000001</v>
      </c>
      <c r="D48">
        <v>0.25</v>
      </c>
      <c r="E48" s="62" t="s">
        <v>262</v>
      </c>
      <c r="F48" s="60" t="s">
        <v>263</v>
      </c>
      <c r="H48" t="s">
        <v>266</v>
      </c>
      <c r="R48" s="60"/>
      <c r="S48" s="60"/>
    </row>
    <row r="49" spans="1:19" x14ac:dyDescent="0.35">
      <c r="A49" t="str">
        <f>IF(B49&gt;=1000,C49&amp; "kΩ, ",B49&amp; "Ω, ")  &amp; DB_R[[#This Row],[Package (m)]]</f>
        <v>1.2kΩ, 2012m</v>
      </c>
      <c r="B49">
        <v>1200</v>
      </c>
      <c r="C49">
        <f>DB_R[[#This Row],[R (Ω)]]/1000</f>
        <v>1.2</v>
      </c>
      <c r="D49">
        <v>0.25</v>
      </c>
      <c r="E49" s="62" t="s">
        <v>262</v>
      </c>
      <c r="F49" s="60" t="s">
        <v>263</v>
      </c>
      <c r="H49" t="s">
        <v>266</v>
      </c>
      <c r="R49" s="60"/>
      <c r="S49" s="60"/>
    </row>
    <row r="50" spans="1:19" x14ac:dyDescent="0.35">
      <c r="A50" t="str">
        <f>IF(B50&gt;=1000,C50&amp; "kΩ, ",B50&amp; "Ω, ")  &amp; DB_R[[#This Row],[Package (m)]]</f>
        <v>1.3kΩ, 2012m</v>
      </c>
      <c r="B50">
        <v>1300</v>
      </c>
      <c r="C50">
        <f>DB_R[[#This Row],[R (Ω)]]/1000</f>
        <v>1.3</v>
      </c>
      <c r="D50">
        <v>0.25</v>
      </c>
      <c r="E50" s="62" t="s">
        <v>262</v>
      </c>
      <c r="F50" s="60" t="s">
        <v>263</v>
      </c>
      <c r="H50" t="s">
        <v>266</v>
      </c>
      <c r="R50" s="60"/>
      <c r="S50" s="60"/>
    </row>
    <row r="51" spans="1:19" x14ac:dyDescent="0.35">
      <c r="A51" t="str">
        <f>IF(B51&gt;=1000,C51&amp; "kΩ, ",B51&amp; "Ω, ")  &amp; DB_R[[#This Row],[Package (m)]]</f>
        <v>1.5kΩ, 2012m</v>
      </c>
      <c r="B51">
        <v>1500</v>
      </c>
      <c r="C51">
        <f>DB_R[[#This Row],[R (Ω)]]/1000</f>
        <v>1.5</v>
      </c>
      <c r="D51">
        <v>0.25</v>
      </c>
      <c r="E51" s="62" t="s">
        <v>262</v>
      </c>
      <c r="F51" s="60" t="s">
        <v>263</v>
      </c>
      <c r="H51" t="s">
        <v>266</v>
      </c>
      <c r="R51" s="60"/>
      <c r="S51" s="60"/>
    </row>
    <row r="52" spans="1:19" x14ac:dyDescent="0.35">
      <c r="A52" t="str">
        <f>IF(B52&gt;=1000,C52&amp; "kΩ, ",B52&amp; "Ω, ")  &amp; DB_R[[#This Row],[Package (m)]]</f>
        <v>1.6kΩ, 2012m</v>
      </c>
      <c r="B52">
        <v>1600</v>
      </c>
      <c r="C52">
        <f>DB_R[[#This Row],[R (Ω)]]/1000</f>
        <v>1.6</v>
      </c>
      <c r="D52">
        <v>0.25</v>
      </c>
      <c r="E52" s="62" t="s">
        <v>262</v>
      </c>
      <c r="F52" s="60" t="s">
        <v>263</v>
      </c>
      <c r="H52" t="s">
        <v>266</v>
      </c>
      <c r="R52" s="60"/>
      <c r="S52" s="60"/>
    </row>
    <row r="53" spans="1:19" x14ac:dyDescent="0.35">
      <c r="A53" t="str">
        <f>IF(B53&gt;=1000,C53&amp; "kΩ, ",B53&amp; "Ω, ")  &amp; DB_R[[#This Row],[Package (m)]]</f>
        <v>1.8kΩ, 2012m</v>
      </c>
      <c r="B53">
        <v>1800</v>
      </c>
      <c r="C53">
        <f>DB_R[[#This Row],[R (Ω)]]/1000</f>
        <v>1.8</v>
      </c>
      <c r="D53">
        <v>0.25</v>
      </c>
      <c r="E53" s="62" t="s">
        <v>262</v>
      </c>
      <c r="F53" s="60" t="s">
        <v>263</v>
      </c>
      <c r="H53" t="s">
        <v>266</v>
      </c>
      <c r="R53" s="60"/>
      <c r="S53" s="60"/>
    </row>
    <row r="54" spans="1:19" x14ac:dyDescent="0.35">
      <c r="A54" t="str">
        <f>IF(B54&gt;=1000,C54&amp; "kΩ, ",B54&amp; "Ω, ")  &amp; DB_R[[#This Row],[Package (m)]]</f>
        <v>2kΩ, 2012m</v>
      </c>
      <c r="B54">
        <v>2000</v>
      </c>
      <c r="C54">
        <f>DB_R[[#This Row],[R (Ω)]]/1000</f>
        <v>2</v>
      </c>
      <c r="D54">
        <v>0.25</v>
      </c>
      <c r="E54" s="62" t="s">
        <v>262</v>
      </c>
      <c r="F54" s="60" t="s">
        <v>263</v>
      </c>
      <c r="H54" t="s">
        <v>266</v>
      </c>
    </row>
    <row r="55" spans="1:19" x14ac:dyDescent="0.35">
      <c r="A55" t="str">
        <f>IF(B55&gt;=1000,C55&amp; "kΩ, ",B55&amp; "Ω, ")  &amp; DB_R[[#This Row],[Package (m)]]</f>
        <v>2.2kΩ, 2012m</v>
      </c>
      <c r="B55">
        <v>2200</v>
      </c>
      <c r="C55">
        <f>DB_R[[#This Row],[R (Ω)]]/1000</f>
        <v>2.2000000000000002</v>
      </c>
      <c r="D55">
        <v>0.25</v>
      </c>
      <c r="E55" s="62" t="s">
        <v>262</v>
      </c>
      <c r="F55" s="60" t="s">
        <v>263</v>
      </c>
      <c r="H55" t="s">
        <v>266</v>
      </c>
    </row>
    <row r="56" spans="1:19" x14ac:dyDescent="0.35">
      <c r="A56" t="str">
        <f>IF(B56&gt;=1000,C56&amp; "kΩ, ",B56&amp; "Ω, ")  &amp; DB_R[[#This Row],[Package (m)]]</f>
        <v>2.4kΩ, 2012m</v>
      </c>
      <c r="B56">
        <v>2400</v>
      </c>
      <c r="C56">
        <f>DB_R[[#This Row],[R (Ω)]]/1000</f>
        <v>2.4</v>
      </c>
      <c r="D56">
        <v>0.25</v>
      </c>
      <c r="E56" s="62" t="s">
        <v>262</v>
      </c>
      <c r="F56" s="60" t="s">
        <v>263</v>
      </c>
      <c r="H56" t="s">
        <v>266</v>
      </c>
    </row>
    <row r="57" spans="1:19" x14ac:dyDescent="0.35">
      <c r="A57" t="str">
        <f>IF(B57&gt;=1000,C57&amp; "kΩ, ",B57&amp; "Ω, ")  &amp; DB_R[[#This Row],[Package (m)]]</f>
        <v>2.7kΩ, 2012m</v>
      </c>
      <c r="B57">
        <v>2700</v>
      </c>
      <c r="C57">
        <f>DB_R[[#This Row],[R (Ω)]]/1000</f>
        <v>2.7</v>
      </c>
      <c r="D57">
        <v>0.25</v>
      </c>
      <c r="E57" s="62" t="s">
        <v>262</v>
      </c>
      <c r="F57" s="60" t="s">
        <v>263</v>
      </c>
      <c r="H57" t="s">
        <v>266</v>
      </c>
    </row>
    <row r="58" spans="1:19" x14ac:dyDescent="0.35">
      <c r="A58" t="str">
        <f>IF(B58&gt;=1000,C58&amp; "kΩ, ",B58&amp; "Ω, ")  &amp; DB_R[[#This Row],[Package (m)]]</f>
        <v>3kΩ, 2012m</v>
      </c>
      <c r="B58">
        <v>3000</v>
      </c>
      <c r="C58">
        <f>DB_R[[#This Row],[R (Ω)]]/1000</f>
        <v>3</v>
      </c>
      <c r="D58">
        <v>0.25</v>
      </c>
      <c r="E58" s="62" t="s">
        <v>262</v>
      </c>
      <c r="F58" s="60" t="s">
        <v>263</v>
      </c>
      <c r="H58" t="s">
        <v>266</v>
      </c>
    </row>
    <row r="59" spans="1:19" x14ac:dyDescent="0.35">
      <c r="A59" t="str">
        <f>IF(B59&gt;=1000,C59&amp; "kΩ, ",B59&amp; "Ω, ")  &amp; DB_R[[#This Row],[Package (m)]]</f>
        <v>3kΩ, 2012m</v>
      </c>
      <c r="B59">
        <v>3000</v>
      </c>
      <c r="C59">
        <f>DB_R[[#This Row],[R (Ω)]]/1000</f>
        <v>3</v>
      </c>
      <c r="D59">
        <v>0.25</v>
      </c>
      <c r="E59" s="62" t="s">
        <v>262</v>
      </c>
      <c r="F59" s="60" t="s">
        <v>263</v>
      </c>
      <c r="H59" t="s">
        <v>266</v>
      </c>
    </row>
    <row r="60" spans="1:19" x14ac:dyDescent="0.35">
      <c r="A60" t="str">
        <f>IF(B60&gt;=1000,C60&amp; "kΩ, ",B60&amp; "Ω, ")  &amp; DB_R[[#This Row],[Package (m)]]</f>
        <v>3.3kΩ, 2012m</v>
      </c>
      <c r="B60">
        <v>3300</v>
      </c>
      <c r="C60">
        <f>DB_R[[#This Row],[R (Ω)]]/1000</f>
        <v>3.3</v>
      </c>
      <c r="D60">
        <v>0.25</v>
      </c>
      <c r="E60" s="62" t="s">
        <v>262</v>
      </c>
      <c r="F60" s="60" t="s">
        <v>263</v>
      </c>
      <c r="H60" t="s">
        <v>266</v>
      </c>
    </row>
    <row r="61" spans="1:19" x14ac:dyDescent="0.35">
      <c r="A61" t="str">
        <f>IF(B61&gt;=1000,C61&amp; "kΩ, ",B61&amp; "Ω, ")  &amp; DB_R[[#This Row],[Package (m)]]</f>
        <v>3.6kΩ, 2012m</v>
      </c>
      <c r="B61">
        <v>3600</v>
      </c>
      <c r="C61">
        <f>DB_R[[#This Row],[R (Ω)]]/1000</f>
        <v>3.6</v>
      </c>
      <c r="D61">
        <v>0.25</v>
      </c>
      <c r="E61" s="62" t="s">
        <v>262</v>
      </c>
      <c r="F61" s="60" t="s">
        <v>263</v>
      </c>
      <c r="H61" t="s">
        <v>266</v>
      </c>
    </row>
    <row r="62" spans="1:19" x14ac:dyDescent="0.35">
      <c r="A62" t="str">
        <f>IF(B62&gt;=1000,C62&amp; "kΩ, ",B62&amp; "Ω, ")  &amp; DB_R[[#This Row],[Package (m)]]</f>
        <v>3.9kΩ, 2012m</v>
      </c>
      <c r="B62">
        <v>3900</v>
      </c>
      <c r="C62">
        <f>DB_R[[#This Row],[R (Ω)]]/1000</f>
        <v>3.9</v>
      </c>
      <c r="D62">
        <v>0.25</v>
      </c>
      <c r="E62" s="62" t="s">
        <v>262</v>
      </c>
      <c r="F62" s="60" t="s">
        <v>263</v>
      </c>
      <c r="H62" t="s">
        <v>266</v>
      </c>
    </row>
    <row r="63" spans="1:19" x14ac:dyDescent="0.35">
      <c r="A63" t="str">
        <f>IF(B63&gt;=1000,C63&amp; "kΩ, ",B63&amp; "Ω, ")  &amp; DB_R[[#This Row],[Package (m)]]</f>
        <v>4.3kΩ, 2012m</v>
      </c>
      <c r="B63">
        <v>4300</v>
      </c>
      <c r="C63">
        <f>DB_R[[#This Row],[R (Ω)]]/1000</f>
        <v>4.3</v>
      </c>
      <c r="D63">
        <v>0.25</v>
      </c>
      <c r="E63" s="62" t="s">
        <v>262</v>
      </c>
      <c r="F63" s="60" t="s">
        <v>263</v>
      </c>
      <c r="H63" t="s">
        <v>266</v>
      </c>
    </row>
    <row r="64" spans="1:19" x14ac:dyDescent="0.35">
      <c r="A64" t="str">
        <f>IF(B64&gt;=1000,C64&amp; "kΩ, ",B64&amp; "Ω, ")  &amp; DB_R[[#This Row],[Package (m)]]</f>
        <v>4.7kΩ, 2012m</v>
      </c>
      <c r="B64">
        <v>4700</v>
      </c>
      <c r="C64">
        <f>DB_R[[#This Row],[R (Ω)]]/1000</f>
        <v>4.7</v>
      </c>
      <c r="D64">
        <v>0.25</v>
      </c>
      <c r="E64" s="62" t="s">
        <v>262</v>
      </c>
      <c r="F64" s="60" t="s">
        <v>263</v>
      </c>
      <c r="H64" t="s">
        <v>266</v>
      </c>
    </row>
    <row r="65" spans="1:8" x14ac:dyDescent="0.35">
      <c r="A65" t="str">
        <f>IF(B65&gt;=1000,C65&amp; "kΩ, ",B65&amp; "Ω, ")  &amp; DB_R[[#This Row],[Package (m)]]</f>
        <v>5.1kΩ, 2012m</v>
      </c>
      <c r="B65">
        <v>5100</v>
      </c>
      <c r="C65">
        <f>DB_R[[#This Row],[R (Ω)]]/1000</f>
        <v>5.0999999999999996</v>
      </c>
      <c r="D65">
        <v>0.25</v>
      </c>
      <c r="E65" s="62" t="s">
        <v>262</v>
      </c>
      <c r="F65" s="60" t="s">
        <v>263</v>
      </c>
      <c r="H65" t="s">
        <v>266</v>
      </c>
    </row>
    <row r="66" spans="1:8" x14ac:dyDescent="0.35">
      <c r="A66" t="str">
        <f>IF(B66&gt;=1000,C66&amp; "kΩ, ",B66&amp; "Ω, ")  &amp; DB_R[[#This Row],[Package (m)]]</f>
        <v>5.6kΩ, 2012m</v>
      </c>
      <c r="B66">
        <v>5600</v>
      </c>
      <c r="C66">
        <f>DB_R[[#This Row],[R (Ω)]]/1000</f>
        <v>5.6</v>
      </c>
      <c r="D66">
        <v>0.25</v>
      </c>
      <c r="E66" s="62" t="s">
        <v>262</v>
      </c>
      <c r="F66" s="60" t="s">
        <v>263</v>
      </c>
      <c r="H66" t="s">
        <v>266</v>
      </c>
    </row>
    <row r="67" spans="1:8" x14ac:dyDescent="0.35">
      <c r="A67" t="str">
        <f>IF(B67&gt;=1000,C67&amp; "kΩ, ",B67&amp; "Ω, ")  &amp; DB_R[[#This Row],[Package (m)]]</f>
        <v>6.2kΩ, 2012m</v>
      </c>
      <c r="B67">
        <v>6200</v>
      </c>
      <c r="C67">
        <f>DB_R[[#This Row],[R (Ω)]]/1000</f>
        <v>6.2</v>
      </c>
      <c r="D67">
        <v>0.25</v>
      </c>
      <c r="E67" s="62" t="s">
        <v>262</v>
      </c>
      <c r="F67" s="60" t="s">
        <v>263</v>
      </c>
      <c r="H67" t="s">
        <v>266</v>
      </c>
    </row>
    <row r="68" spans="1:8" x14ac:dyDescent="0.35">
      <c r="A68" t="str">
        <f>IF(B68&gt;=1000,C68&amp; "kΩ, ",B68&amp; "Ω, ")  &amp; DB_R[[#This Row],[Package (m)]]</f>
        <v>6.8kΩ, 2012m</v>
      </c>
      <c r="B68">
        <v>6800</v>
      </c>
      <c r="C68">
        <f>DB_R[[#This Row],[R (Ω)]]/1000</f>
        <v>6.8</v>
      </c>
      <c r="D68">
        <v>0.25</v>
      </c>
      <c r="E68" s="62" t="s">
        <v>262</v>
      </c>
      <c r="F68" s="60" t="s">
        <v>263</v>
      </c>
      <c r="H68" t="s">
        <v>266</v>
      </c>
    </row>
    <row r="69" spans="1:8" x14ac:dyDescent="0.35">
      <c r="A69" t="str">
        <f>IF(B69&gt;=1000,C69&amp; "kΩ, ",B69&amp; "Ω, ")  &amp; DB_R[[#This Row],[Package (m)]]</f>
        <v>7.5kΩ, 2012m</v>
      </c>
      <c r="B69">
        <v>7500</v>
      </c>
      <c r="C69">
        <f>DB_R[[#This Row],[R (Ω)]]/1000</f>
        <v>7.5</v>
      </c>
      <c r="D69">
        <v>0.25</v>
      </c>
      <c r="E69" s="62" t="s">
        <v>262</v>
      </c>
      <c r="F69" s="60" t="s">
        <v>263</v>
      </c>
      <c r="H69" t="s">
        <v>266</v>
      </c>
    </row>
    <row r="70" spans="1:8" x14ac:dyDescent="0.35">
      <c r="A70" t="str">
        <f>IF(B70&gt;=1000,C70&amp; "kΩ, ",B70&amp; "Ω, ")  &amp; DB_R[[#This Row],[Package (m)]]</f>
        <v>8.2kΩ, 2012m</v>
      </c>
      <c r="B70">
        <v>8200</v>
      </c>
      <c r="C70">
        <f>DB_R[[#This Row],[R (Ω)]]/1000</f>
        <v>8.1999999999999993</v>
      </c>
      <c r="D70">
        <v>0.25</v>
      </c>
      <c r="E70" s="62" t="s">
        <v>262</v>
      </c>
      <c r="F70" s="60" t="s">
        <v>263</v>
      </c>
      <c r="H70" t="s">
        <v>266</v>
      </c>
    </row>
    <row r="71" spans="1:8" x14ac:dyDescent="0.35">
      <c r="A71" t="str">
        <f>IF(B71&gt;=1000,C71&amp; "kΩ, ",B71&amp; "Ω, ")  &amp; DB_R[[#This Row],[Package (m)]]</f>
        <v>9.1kΩ, 2012m</v>
      </c>
      <c r="B71">
        <v>9100</v>
      </c>
      <c r="C71">
        <f>DB_R[[#This Row],[R (Ω)]]/1000</f>
        <v>9.1</v>
      </c>
      <c r="D71">
        <v>0.25</v>
      </c>
      <c r="E71" s="62" t="s">
        <v>262</v>
      </c>
      <c r="F71" s="60" t="s">
        <v>263</v>
      </c>
      <c r="H71" t="s">
        <v>266</v>
      </c>
    </row>
    <row r="72" spans="1:8" x14ac:dyDescent="0.35">
      <c r="A72" t="str">
        <f>IF(B72&gt;=1000,C72&amp; "kΩ, ",B72&amp; "Ω, ")  &amp; DB_R[[#This Row],[Package (m)]]</f>
        <v xml:space="preserve">10kΩ, </v>
      </c>
      <c r="B72">
        <v>10000</v>
      </c>
      <c r="C72">
        <f>DB_R[[#This Row],[R (Ω)]]/1000</f>
        <v>10</v>
      </c>
      <c r="E72" s="62"/>
      <c r="F72" s="60"/>
    </row>
    <row r="73" spans="1:8" x14ac:dyDescent="0.35">
      <c r="A73" t="str">
        <f>IF(B73&gt;=1000,C73&amp; "kΩ, ",B73&amp; "Ω, ")  &amp; DB_R[[#This Row],[Package (m)]]</f>
        <v xml:space="preserve">10kΩ, </v>
      </c>
      <c r="B73">
        <v>10000</v>
      </c>
      <c r="C73">
        <f>DB_R[[#This Row],[R (Ω)]]/1000</f>
        <v>10</v>
      </c>
      <c r="E73" s="62"/>
      <c r="F73" s="60"/>
    </row>
    <row r="74" spans="1:8" x14ac:dyDescent="0.35">
      <c r="A74" t="str">
        <f>IF(B74&gt;=1000,C74&amp; "kΩ, ",B74&amp; "Ω, ")  &amp; DB_R[[#This Row],[Package (m)]]</f>
        <v xml:space="preserve">11kΩ, </v>
      </c>
      <c r="B74">
        <v>11000</v>
      </c>
      <c r="C74">
        <f>DB_R[[#This Row],[R (Ω)]]/1000</f>
        <v>11</v>
      </c>
      <c r="E74" s="62"/>
      <c r="F74" s="60"/>
    </row>
    <row r="75" spans="1:8" x14ac:dyDescent="0.35">
      <c r="A75" t="str">
        <f>IF(B75&gt;=1000,C75&amp; "kΩ, ",B75&amp; "Ω, ")  &amp; DB_R[[#This Row],[Package (m)]]</f>
        <v xml:space="preserve">12kΩ, </v>
      </c>
      <c r="B75">
        <v>12000</v>
      </c>
      <c r="C75">
        <f>DB_R[[#This Row],[R (Ω)]]/1000</f>
        <v>12</v>
      </c>
      <c r="E75" s="62"/>
      <c r="F75" s="60"/>
    </row>
    <row r="76" spans="1:8" x14ac:dyDescent="0.35">
      <c r="A76" t="str">
        <f>IF(B76&gt;=1000,C76&amp; "kΩ, ",B76&amp; "Ω, ")  &amp; DB_R[[#This Row],[Package (m)]]</f>
        <v xml:space="preserve">13kΩ, </v>
      </c>
      <c r="B76">
        <v>13000</v>
      </c>
      <c r="C76">
        <f>DB_R[[#This Row],[R (Ω)]]/1000</f>
        <v>13</v>
      </c>
      <c r="E76" s="62"/>
      <c r="F76" s="60"/>
    </row>
    <row r="77" spans="1:8" x14ac:dyDescent="0.35">
      <c r="A77" t="str">
        <f>IF(B77&gt;=1000,C77&amp; "kΩ, ",B77&amp; "Ω, ")  &amp; DB_R[[#This Row],[Package (m)]]</f>
        <v xml:space="preserve">15kΩ, </v>
      </c>
      <c r="B77">
        <v>15000</v>
      </c>
      <c r="C77">
        <f>DB_R[[#This Row],[R (Ω)]]/1000</f>
        <v>15</v>
      </c>
      <c r="E77" s="62"/>
      <c r="F77" s="60"/>
    </row>
    <row r="78" spans="1:8" x14ac:dyDescent="0.35">
      <c r="A78" t="str">
        <f>IF(B78&gt;=1000,C78&amp; "kΩ, ",B78&amp; "Ω, ")  &amp; DB_R[[#This Row],[Package (m)]]</f>
        <v xml:space="preserve">16kΩ, </v>
      </c>
      <c r="B78">
        <v>16000</v>
      </c>
      <c r="C78">
        <f>DB_R[[#This Row],[R (Ω)]]/1000</f>
        <v>16</v>
      </c>
      <c r="E78" s="62"/>
      <c r="F78" s="60"/>
    </row>
    <row r="79" spans="1:8" x14ac:dyDescent="0.35">
      <c r="A79" t="str">
        <f>IF(B79&gt;=1000,C79&amp; "kΩ, ",B79&amp; "Ω, ")  &amp; DB_R[[#This Row],[Package (m)]]</f>
        <v xml:space="preserve">18kΩ, </v>
      </c>
      <c r="B79">
        <v>18000</v>
      </c>
      <c r="C79">
        <f>DB_R[[#This Row],[R (Ω)]]/1000</f>
        <v>18</v>
      </c>
      <c r="E79" s="62"/>
      <c r="F79" s="60"/>
    </row>
    <row r="80" spans="1:8" x14ac:dyDescent="0.35">
      <c r="A80" t="str">
        <f>IF(B80&gt;=1000,C80&amp; "kΩ, ",B80&amp; "Ω, ")  &amp; DB_R[[#This Row],[Package (m)]]</f>
        <v xml:space="preserve">20kΩ, </v>
      </c>
      <c r="B80">
        <v>20000</v>
      </c>
      <c r="C80">
        <f>DB_R[[#This Row],[R (Ω)]]/1000</f>
        <v>20</v>
      </c>
      <c r="E80" s="62"/>
      <c r="F80" s="60"/>
    </row>
    <row r="81" spans="1:6" x14ac:dyDescent="0.35">
      <c r="A81" t="str">
        <f>IF(B81&gt;=1000,C81&amp; "kΩ, ",B81&amp; "Ω, ")  &amp; DB_R[[#This Row],[Package (m)]]</f>
        <v xml:space="preserve">22kΩ, </v>
      </c>
      <c r="B81">
        <v>22000</v>
      </c>
      <c r="C81">
        <f>DB_R[[#This Row],[R (Ω)]]/1000</f>
        <v>22</v>
      </c>
      <c r="E81" s="62"/>
      <c r="F81" s="60"/>
    </row>
    <row r="82" spans="1:6" x14ac:dyDescent="0.35">
      <c r="A82" t="str">
        <f>IF(B82&gt;=1000,C82&amp; "kΩ, ",B82&amp; "Ω, ")  &amp; DB_R[[#This Row],[Package (m)]]</f>
        <v xml:space="preserve">24kΩ, </v>
      </c>
      <c r="B82">
        <v>24000</v>
      </c>
      <c r="C82">
        <f>DB_R[[#This Row],[R (Ω)]]/1000</f>
        <v>24</v>
      </c>
      <c r="E82" s="62"/>
      <c r="F82" s="60"/>
    </row>
    <row r="83" spans="1:6" x14ac:dyDescent="0.35">
      <c r="A83" t="str">
        <f>IF(B83&gt;=1000,C83&amp; "kΩ, ",B83&amp; "Ω, ")  &amp; DB_R[[#This Row],[Package (m)]]</f>
        <v xml:space="preserve">27kΩ, </v>
      </c>
      <c r="B83">
        <v>27000</v>
      </c>
      <c r="C83">
        <f>DB_R[[#This Row],[R (Ω)]]/1000</f>
        <v>27</v>
      </c>
      <c r="E83" s="62"/>
      <c r="F83" s="60"/>
    </row>
    <row r="84" spans="1:6" x14ac:dyDescent="0.35">
      <c r="A84" t="str">
        <f>IF(B84&gt;=1000,C84&amp; "kΩ, ",B84&amp; "Ω, ")  &amp; DB_R[[#This Row],[Package (m)]]</f>
        <v xml:space="preserve">30kΩ, </v>
      </c>
      <c r="B84">
        <v>30000</v>
      </c>
      <c r="C84">
        <f>DB_R[[#This Row],[R (Ω)]]/1000</f>
        <v>30</v>
      </c>
      <c r="E84" s="62"/>
      <c r="F84" s="60"/>
    </row>
    <row r="85" spans="1:6" x14ac:dyDescent="0.35">
      <c r="A85" t="str">
        <f>IF(B85&gt;=1000,C85&amp; "kΩ, ",B85&amp; "Ω, ")  &amp; DB_R[[#This Row],[Package (m)]]</f>
        <v xml:space="preserve">33kΩ, </v>
      </c>
      <c r="B85">
        <v>33000</v>
      </c>
      <c r="C85">
        <f>DB_R[[#This Row],[R (Ω)]]/1000</f>
        <v>33</v>
      </c>
      <c r="E85" s="62"/>
      <c r="F85" s="60"/>
    </row>
    <row r="86" spans="1:6" x14ac:dyDescent="0.35">
      <c r="A86" t="str">
        <f>IF(B86&gt;=1000,C86&amp; "kΩ, ",B86&amp; "Ω, ")  &amp; DB_R[[#This Row],[Package (m)]]</f>
        <v xml:space="preserve">36kΩ, </v>
      </c>
      <c r="B86">
        <v>36000</v>
      </c>
      <c r="C86">
        <f>DB_R[[#This Row],[R (Ω)]]/1000</f>
        <v>36</v>
      </c>
      <c r="E86" s="62"/>
      <c r="F86" s="60"/>
    </row>
    <row r="87" spans="1:6" x14ac:dyDescent="0.35">
      <c r="A87" t="str">
        <f>IF(B87&gt;=1000,C87&amp; "kΩ, ",B87&amp; "Ω, ")  &amp; DB_R[[#This Row],[Package (m)]]</f>
        <v xml:space="preserve">39kΩ, </v>
      </c>
      <c r="B87">
        <v>39000</v>
      </c>
      <c r="C87">
        <f>DB_R[[#This Row],[R (Ω)]]/1000</f>
        <v>39</v>
      </c>
      <c r="E87" s="62"/>
      <c r="F87" s="60"/>
    </row>
    <row r="88" spans="1:6" x14ac:dyDescent="0.35">
      <c r="A88" t="str">
        <f>IF(B88&gt;=1000,C88&amp; "kΩ, ",B88&amp; "Ω, ")  &amp; DB_R[[#This Row],[Package (m)]]</f>
        <v xml:space="preserve">43kΩ, </v>
      </c>
      <c r="B88">
        <v>43000</v>
      </c>
      <c r="C88">
        <f>DB_R[[#This Row],[R (Ω)]]/1000</f>
        <v>43</v>
      </c>
      <c r="E88" s="62"/>
      <c r="F88" s="60"/>
    </row>
    <row r="89" spans="1:6" x14ac:dyDescent="0.35">
      <c r="A89" t="str">
        <f>IF(B89&gt;=1000,C89&amp; "kΩ, ",B89&amp; "Ω, ")  &amp; DB_R[[#This Row],[Package (m)]]</f>
        <v xml:space="preserve">47kΩ, </v>
      </c>
      <c r="B89">
        <v>47000</v>
      </c>
      <c r="C89">
        <f>DB_R[[#This Row],[R (Ω)]]/1000</f>
        <v>47</v>
      </c>
      <c r="E89" s="62"/>
      <c r="F89" s="60"/>
    </row>
    <row r="90" spans="1:6" x14ac:dyDescent="0.35">
      <c r="A90" t="str">
        <f>IF(B90&gt;=1000,C90&amp; "kΩ, ",B90&amp; "Ω, ")  &amp; DB_R[[#This Row],[Package (m)]]</f>
        <v xml:space="preserve">51kΩ, </v>
      </c>
      <c r="B90">
        <v>51000</v>
      </c>
      <c r="C90">
        <f>DB_R[[#This Row],[R (Ω)]]/1000</f>
        <v>51</v>
      </c>
      <c r="E90" s="62"/>
      <c r="F90" s="60"/>
    </row>
    <row r="91" spans="1:6" x14ac:dyDescent="0.35">
      <c r="A91" t="str">
        <f>IF(B91&gt;=1000,C91&amp; "kΩ, ",B91&amp; "Ω, ")  &amp; DB_R[[#This Row],[Package (m)]]</f>
        <v xml:space="preserve">56kΩ, </v>
      </c>
      <c r="B91">
        <v>56000</v>
      </c>
      <c r="C91">
        <f>DB_R[[#This Row],[R (Ω)]]/1000</f>
        <v>56</v>
      </c>
      <c r="E91" s="62"/>
      <c r="F91" s="60"/>
    </row>
    <row r="92" spans="1:6" x14ac:dyDescent="0.35">
      <c r="A92" t="str">
        <f>IF(B92&gt;=1000,C92&amp; "kΩ, ",B92&amp; "Ω, ")  &amp; DB_R[[#This Row],[Package (m)]]</f>
        <v xml:space="preserve">62kΩ, </v>
      </c>
      <c r="B92">
        <v>62000</v>
      </c>
      <c r="C92">
        <f>DB_R[[#This Row],[R (Ω)]]/1000</f>
        <v>62</v>
      </c>
      <c r="E92" s="62"/>
      <c r="F92" s="60"/>
    </row>
    <row r="93" spans="1:6" x14ac:dyDescent="0.35">
      <c r="A93" t="str">
        <f>IF(B93&gt;=1000,C93&amp; "kΩ, ",B93&amp; "Ω, ")  &amp; DB_R[[#This Row],[Package (m)]]</f>
        <v xml:space="preserve">68kΩ, </v>
      </c>
      <c r="B93">
        <v>68000</v>
      </c>
      <c r="C93">
        <f>DB_R[[#This Row],[R (Ω)]]/1000</f>
        <v>68</v>
      </c>
      <c r="E93" s="62"/>
      <c r="F93" s="60"/>
    </row>
    <row r="94" spans="1:6" x14ac:dyDescent="0.35">
      <c r="A94" t="str">
        <f>IF(B94&gt;=1000,C94&amp; "kΩ, ",B94&amp; "Ω, ")  &amp; DB_R[[#This Row],[Package (m)]]</f>
        <v xml:space="preserve">75kΩ, </v>
      </c>
      <c r="B94">
        <v>75000</v>
      </c>
      <c r="C94">
        <f>DB_R[[#This Row],[R (Ω)]]/1000</f>
        <v>75</v>
      </c>
      <c r="E94" s="62"/>
      <c r="F94" s="60"/>
    </row>
    <row r="95" spans="1:6" x14ac:dyDescent="0.35">
      <c r="A95" t="str">
        <f>IF(B95&gt;=1000,C95&amp; "kΩ, ",B95&amp; "Ω, ")  &amp; DB_R[[#This Row],[Package (m)]]</f>
        <v xml:space="preserve">82kΩ, </v>
      </c>
      <c r="B95">
        <v>82000</v>
      </c>
      <c r="C95">
        <f>DB_R[[#This Row],[R (Ω)]]/1000</f>
        <v>82</v>
      </c>
      <c r="E95" s="62"/>
      <c r="F95" s="60"/>
    </row>
    <row r="96" spans="1:6" x14ac:dyDescent="0.35">
      <c r="A96" t="str">
        <f>IF(B96&gt;=1000,C96&amp; "kΩ, ",B96&amp; "Ω, ")  &amp; DB_R[[#This Row],[Package (m)]]</f>
        <v xml:space="preserve">91kΩ, </v>
      </c>
      <c r="B96">
        <v>91000</v>
      </c>
      <c r="C96">
        <f>DB_R[[#This Row],[R (Ω)]]/1000</f>
        <v>91</v>
      </c>
      <c r="E96" s="62"/>
      <c r="F96" s="60"/>
    </row>
    <row r="97" spans="1:6" x14ac:dyDescent="0.35">
      <c r="A97" t="str">
        <f>IF(B97&gt;=1000,C97&amp; "kΩ, ",B97&amp; "Ω, ")  &amp; DB_R[[#This Row],[Package (m)]]</f>
        <v xml:space="preserve">100kΩ, </v>
      </c>
      <c r="B97">
        <v>100000</v>
      </c>
      <c r="C97">
        <f>DB_R[[#This Row],[R (Ω)]]/1000</f>
        <v>100</v>
      </c>
      <c r="E97" s="62"/>
      <c r="F97" s="60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AA7A-E64A-44C7-8D93-0215DB684C28}">
  <sheetPr codeName="Sheet11">
    <tabColor theme="1" tint="0.499984740745262"/>
  </sheetPr>
  <dimension ref="A1:B2"/>
  <sheetViews>
    <sheetView workbookViewId="0">
      <selection activeCell="J32" sqref="J32"/>
    </sheetView>
  </sheetViews>
  <sheetFormatPr defaultRowHeight="14.5" x14ac:dyDescent="0.35"/>
  <cols>
    <col min="1" max="1" width="16.08984375" bestFit="1" customWidth="1"/>
    <col min="2" max="2" width="14.81640625" bestFit="1" customWidth="1"/>
  </cols>
  <sheetData>
    <row r="1" spans="1:2" x14ac:dyDescent="0.35">
      <c r="A1" t="s">
        <v>206</v>
      </c>
      <c r="B1" t="s">
        <v>209</v>
      </c>
    </row>
    <row r="2" spans="1:2" x14ac:dyDescent="0.35">
      <c r="A2" t="s">
        <v>207</v>
      </c>
      <c r="B2">
        <v>0.24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3C654-DB60-432A-9C34-CEFBC44140F6}">
  <sheetPr codeName="Sheet13">
    <tabColor theme="1" tint="0.499984740745262"/>
  </sheetPr>
  <dimension ref="A1:T18"/>
  <sheetViews>
    <sheetView topLeftCell="K1" workbookViewId="0">
      <selection activeCell="J32" sqref="J32"/>
    </sheetView>
  </sheetViews>
  <sheetFormatPr defaultColWidth="10.90625" defaultRowHeight="14.5" x14ac:dyDescent="0.35"/>
  <cols>
    <col min="1" max="1" width="20" customWidth="1"/>
    <col min="2" max="2" width="13.54296875" customWidth="1"/>
    <col min="3" max="3" width="8.90625" bestFit="1" customWidth="1"/>
    <col min="4" max="4" width="21" bestFit="1" customWidth="1"/>
    <col min="5" max="5" width="22.26953125" bestFit="1" customWidth="1"/>
    <col min="6" max="6" width="17.7265625" customWidth="1"/>
    <col min="7" max="7" width="18.81640625" bestFit="1" customWidth="1"/>
    <col min="8" max="8" width="23.6328125" bestFit="1" customWidth="1"/>
    <col min="9" max="11" width="16.7265625" bestFit="1" customWidth="1"/>
    <col min="12" max="12" width="17.7265625" bestFit="1" customWidth="1"/>
    <col min="13" max="13" width="13.7265625" bestFit="1" customWidth="1"/>
    <col min="14" max="14" width="14.54296875" bestFit="1" customWidth="1"/>
    <col min="15" max="15" width="14.26953125" customWidth="1"/>
    <col min="16" max="16" width="11.453125" bestFit="1" customWidth="1"/>
    <col min="17" max="19" width="11.453125" customWidth="1"/>
    <col min="20" max="20" width="14.26953125" bestFit="1" customWidth="1"/>
  </cols>
  <sheetData>
    <row r="1" spans="1:20" x14ac:dyDescent="0.35">
      <c r="A1" t="s">
        <v>116</v>
      </c>
      <c r="B1" t="s">
        <v>104</v>
      </c>
      <c r="C1" t="s">
        <v>165</v>
      </c>
      <c r="D1" t="s">
        <v>109</v>
      </c>
      <c r="E1" t="s">
        <v>110</v>
      </c>
      <c r="F1" t="s">
        <v>177</v>
      </c>
      <c r="G1" t="s">
        <v>183</v>
      </c>
      <c r="H1" t="s">
        <v>198</v>
      </c>
      <c r="I1" t="s">
        <v>169</v>
      </c>
      <c r="J1" t="s">
        <v>178</v>
      </c>
      <c r="K1" t="s">
        <v>170</v>
      </c>
      <c r="L1" t="s">
        <v>179</v>
      </c>
      <c r="M1" t="s">
        <v>168</v>
      </c>
      <c r="N1" t="s">
        <v>111</v>
      </c>
      <c r="O1" t="s">
        <v>112</v>
      </c>
      <c r="P1" t="s">
        <v>171</v>
      </c>
      <c r="Q1" t="s">
        <v>301</v>
      </c>
      <c r="R1" t="s">
        <v>310</v>
      </c>
      <c r="S1" t="s">
        <v>304</v>
      </c>
      <c r="T1" t="s">
        <v>164</v>
      </c>
    </row>
    <row r="2" spans="1:20" x14ac:dyDescent="0.35">
      <c r="A2" t="s">
        <v>106</v>
      </c>
      <c r="B2" t="s">
        <v>105</v>
      </c>
      <c r="C2">
        <v>60</v>
      </c>
      <c r="D2">
        <v>1.9</v>
      </c>
      <c r="E2">
        <v>2.4</v>
      </c>
      <c r="F2">
        <v>79.5</v>
      </c>
      <c r="G2" s="60" t="s">
        <v>174</v>
      </c>
      <c r="H2" s="60" t="s">
        <v>174</v>
      </c>
      <c r="I2" s="37">
        <v>120</v>
      </c>
      <c r="J2" s="37">
        <v>120</v>
      </c>
      <c r="K2" s="60">
        <v>32</v>
      </c>
      <c r="L2" s="60">
        <v>20</v>
      </c>
      <c r="M2">
        <v>128</v>
      </c>
      <c r="N2">
        <v>35.6</v>
      </c>
      <c r="O2">
        <v>42.2</v>
      </c>
      <c r="P2" t="s">
        <v>173</v>
      </c>
      <c r="T2" t="s">
        <v>114</v>
      </c>
    </row>
    <row r="3" spans="1:20" x14ac:dyDescent="0.35">
      <c r="A3" t="s">
        <v>107</v>
      </c>
      <c r="B3" t="s">
        <v>108</v>
      </c>
      <c r="C3">
        <v>60</v>
      </c>
      <c r="D3">
        <v>0.93</v>
      </c>
      <c r="E3">
        <v>1.2</v>
      </c>
      <c r="F3">
        <v>120</v>
      </c>
      <c r="G3" s="60" t="s">
        <v>174</v>
      </c>
      <c r="H3" s="60" t="s">
        <v>174</v>
      </c>
      <c r="I3">
        <v>287</v>
      </c>
      <c r="J3">
        <v>200</v>
      </c>
      <c r="K3" s="60">
        <v>40</v>
      </c>
      <c r="L3" s="60">
        <v>28</v>
      </c>
      <c r="M3">
        <v>900</v>
      </c>
      <c r="N3">
        <v>79.099999999999994</v>
      </c>
      <c r="O3">
        <v>81.3</v>
      </c>
      <c r="P3" t="s">
        <v>173</v>
      </c>
      <c r="T3" t="s">
        <v>115</v>
      </c>
    </row>
    <row r="4" spans="1:20" x14ac:dyDescent="0.35">
      <c r="A4" t="s">
        <v>166</v>
      </c>
      <c r="B4" t="s">
        <v>167</v>
      </c>
      <c r="C4">
        <v>60</v>
      </c>
      <c r="D4">
        <v>3.5</v>
      </c>
      <c r="E4">
        <v>4.8</v>
      </c>
      <c r="F4">
        <v>29</v>
      </c>
      <c r="G4" s="60" t="s">
        <v>174</v>
      </c>
      <c r="H4" s="60" t="s">
        <v>174</v>
      </c>
      <c r="I4">
        <v>72</v>
      </c>
      <c r="J4">
        <v>105</v>
      </c>
      <c r="K4" s="60" t="s">
        <v>185</v>
      </c>
      <c r="L4" s="60" t="s">
        <v>184</v>
      </c>
      <c r="M4">
        <v>200</v>
      </c>
      <c r="N4">
        <v>4</v>
      </c>
      <c r="O4">
        <v>5.0999999999999996</v>
      </c>
      <c r="P4" t="s">
        <v>172</v>
      </c>
      <c r="T4" t="s">
        <v>114</v>
      </c>
    </row>
    <row r="5" spans="1:20" x14ac:dyDescent="0.35">
      <c r="A5" t="s">
        <v>175</v>
      </c>
      <c r="B5" t="s">
        <v>176</v>
      </c>
      <c r="C5">
        <v>60</v>
      </c>
      <c r="D5">
        <f>0.0035*1000</f>
        <v>3.5</v>
      </c>
      <c r="E5">
        <f>0.0044*1000</f>
        <v>4.4000000000000004</v>
      </c>
      <c r="F5">
        <v>31.5</v>
      </c>
      <c r="G5" s="60" t="s">
        <v>174</v>
      </c>
      <c r="H5" s="60" t="s">
        <v>174</v>
      </c>
      <c r="I5">
        <v>80.3</v>
      </c>
      <c r="J5">
        <v>64.2</v>
      </c>
      <c r="K5" s="60">
        <v>23.8</v>
      </c>
      <c r="L5" s="60">
        <v>19</v>
      </c>
      <c r="M5">
        <v>150</v>
      </c>
      <c r="N5">
        <v>6</v>
      </c>
      <c r="O5">
        <v>6</v>
      </c>
      <c r="P5" t="s">
        <v>173</v>
      </c>
      <c r="T5" t="s">
        <v>115</v>
      </c>
    </row>
    <row r="6" spans="1:20" x14ac:dyDescent="0.35">
      <c r="A6" t="s">
        <v>181</v>
      </c>
      <c r="B6" t="s">
        <v>180</v>
      </c>
      <c r="C6">
        <v>60</v>
      </c>
      <c r="D6">
        <v>2.2999999999999998</v>
      </c>
      <c r="E6">
        <v>2.7</v>
      </c>
      <c r="F6">
        <v>43</v>
      </c>
      <c r="G6" s="60" t="s">
        <v>174</v>
      </c>
      <c r="H6" s="60" t="s">
        <v>174</v>
      </c>
      <c r="I6">
        <v>134</v>
      </c>
      <c r="J6">
        <v>84</v>
      </c>
      <c r="K6" s="60">
        <v>23</v>
      </c>
      <c r="L6" s="60" t="s">
        <v>187</v>
      </c>
      <c r="M6">
        <v>536</v>
      </c>
      <c r="N6">
        <v>4.8</v>
      </c>
      <c r="O6">
        <v>5.4</v>
      </c>
      <c r="P6" t="s">
        <v>173</v>
      </c>
      <c r="T6" t="s">
        <v>182</v>
      </c>
    </row>
    <row r="7" spans="1:20" x14ac:dyDescent="0.35">
      <c r="A7" t="s">
        <v>186</v>
      </c>
      <c r="B7" t="s">
        <v>180</v>
      </c>
      <c r="C7">
        <v>60</v>
      </c>
      <c r="D7">
        <v>1.4</v>
      </c>
      <c r="E7">
        <v>1.6</v>
      </c>
      <c r="F7">
        <v>71</v>
      </c>
      <c r="G7">
        <v>95</v>
      </c>
      <c r="H7">
        <v>62</v>
      </c>
      <c r="I7">
        <v>234</v>
      </c>
      <c r="J7">
        <v>164</v>
      </c>
      <c r="K7" s="60">
        <v>31</v>
      </c>
      <c r="L7" s="60" t="s">
        <v>188</v>
      </c>
      <c r="M7">
        <v>936</v>
      </c>
      <c r="N7">
        <v>9</v>
      </c>
      <c r="O7">
        <v>9</v>
      </c>
      <c r="P7" t="s">
        <v>173</v>
      </c>
      <c r="T7" t="s">
        <v>115</v>
      </c>
    </row>
    <row r="8" spans="1:20" x14ac:dyDescent="0.35">
      <c r="A8" t="s">
        <v>203</v>
      </c>
      <c r="B8" t="s">
        <v>197</v>
      </c>
      <c r="C8">
        <v>60</v>
      </c>
      <c r="D8">
        <v>1.8</v>
      </c>
      <c r="E8">
        <v>2.2000000000000002</v>
      </c>
      <c r="F8">
        <v>41</v>
      </c>
      <c r="G8">
        <v>53</v>
      </c>
      <c r="H8" s="60" t="s">
        <v>174</v>
      </c>
      <c r="I8">
        <v>100</v>
      </c>
      <c r="J8">
        <v>100</v>
      </c>
      <c r="K8" s="60">
        <v>29</v>
      </c>
      <c r="L8" s="60" t="s">
        <v>188</v>
      </c>
      <c r="M8">
        <v>400</v>
      </c>
      <c r="N8">
        <v>9</v>
      </c>
      <c r="O8">
        <v>3</v>
      </c>
      <c r="P8" t="s">
        <v>173</v>
      </c>
      <c r="Q8">
        <v>4</v>
      </c>
      <c r="R8">
        <v>6.7</v>
      </c>
      <c r="S8">
        <v>1.6</v>
      </c>
      <c r="T8" t="s">
        <v>115</v>
      </c>
    </row>
    <row r="9" spans="1:20" x14ac:dyDescent="0.35">
      <c r="H9" s="60"/>
      <c r="K9" s="60"/>
      <c r="L9" s="60"/>
    </row>
    <row r="10" spans="1:20" x14ac:dyDescent="0.35">
      <c r="K10" s="60"/>
      <c r="L10" s="60"/>
    </row>
    <row r="11" spans="1:20" x14ac:dyDescent="0.35">
      <c r="K11" s="60"/>
      <c r="L11" s="60"/>
      <c r="N11" t="s">
        <v>199</v>
      </c>
      <c r="O11" t="s">
        <v>199</v>
      </c>
    </row>
    <row r="12" spans="1:20" x14ac:dyDescent="0.35">
      <c r="K12" s="60"/>
      <c r="L12" s="60"/>
    </row>
    <row r="13" spans="1:20" x14ac:dyDescent="0.35">
      <c r="K13" s="60"/>
      <c r="L13" s="60"/>
    </row>
    <row r="14" spans="1:20" x14ac:dyDescent="0.35">
      <c r="K14" s="60"/>
      <c r="L14" s="60"/>
    </row>
    <row r="15" spans="1:20" x14ac:dyDescent="0.35">
      <c r="K15" s="60"/>
      <c r="L15" s="60"/>
    </row>
    <row r="16" spans="1:20" x14ac:dyDescent="0.35">
      <c r="K16" s="60"/>
      <c r="L16" s="60"/>
    </row>
    <row r="17" spans="11:12" x14ac:dyDescent="0.35">
      <c r="K17" s="60"/>
      <c r="L17" s="60"/>
    </row>
    <row r="18" spans="11:12" x14ac:dyDescent="0.35">
      <c r="K18" s="60"/>
      <c r="L18" s="60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E525-5907-49C0-BD58-BC6F5A1389D5}">
  <sheetPr codeName="Sheet8">
    <tabColor theme="1" tint="0.499984740745262"/>
  </sheetPr>
  <dimension ref="A1:H2"/>
  <sheetViews>
    <sheetView workbookViewId="0">
      <selection activeCell="J32" sqref="J32"/>
    </sheetView>
  </sheetViews>
  <sheetFormatPr defaultRowHeight="14.5" x14ac:dyDescent="0.35"/>
  <cols>
    <col min="1" max="1" width="15.08984375" bestFit="1" customWidth="1"/>
    <col min="2" max="2" width="13.36328125" bestFit="1" customWidth="1"/>
    <col min="3" max="3" width="10.453125" bestFit="1" customWidth="1"/>
    <col min="4" max="4" width="12.7265625" bestFit="1" customWidth="1"/>
    <col min="5" max="5" width="11.26953125" bestFit="1" customWidth="1"/>
    <col min="6" max="6" width="17.90625" bestFit="1" customWidth="1"/>
    <col min="7" max="7" width="16.1796875" bestFit="1" customWidth="1"/>
    <col min="8" max="8" width="17.1796875" bestFit="1" customWidth="1"/>
  </cols>
  <sheetData>
    <row r="1" spans="1:8" x14ac:dyDescent="0.35">
      <c r="A1" t="s">
        <v>103</v>
      </c>
      <c r="B1" t="s">
        <v>279</v>
      </c>
      <c r="C1" t="s">
        <v>247</v>
      </c>
      <c r="D1" t="s">
        <v>287</v>
      </c>
      <c r="E1" t="s">
        <v>288</v>
      </c>
      <c r="F1" t="s">
        <v>281</v>
      </c>
      <c r="G1" t="s">
        <v>282</v>
      </c>
      <c r="H1" t="s">
        <v>133</v>
      </c>
    </row>
    <row r="2" spans="1:8" x14ac:dyDescent="0.35">
      <c r="A2" t="s">
        <v>132</v>
      </c>
      <c r="B2">
        <v>3.3</v>
      </c>
      <c r="C2">
        <f>DB_ADC[[#This Row],[Vref,adc (V)]]+0.3</f>
        <v>3.5999999999999996</v>
      </c>
      <c r="D2">
        <v>5</v>
      </c>
      <c r="E2">
        <v>5</v>
      </c>
      <c r="F2">
        <v>60</v>
      </c>
      <c r="G2" s="34">
        <f>1/DB_ADC[[#This Row],[Fadc,clock(MHz)]]*10^3</f>
        <v>16.666666666666668</v>
      </c>
      <c r="H2">
        <f>DB_ADC[[#This Row],[Vref,adc (V)]]+0.3</f>
        <v>3.5999999999999996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4E60-E2C6-48B6-8B32-33733DDD0651}">
  <sheetPr codeName="Sheet14"/>
  <dimension ref="B2:N16"/>
  <sheetViews>
    <sheetView zoomScaleNormal="100" workbookViewId="0">
      <selection activeCell="D11" sqref="D11"/>
    </sheetView>
  </sheetViews>
  <sheetFormatPr defaultColWidth="10.90625" defaultRowHeight="14.5" x14ac:dyDescent="0.35"/>
  <cols>
    <col min="1" max="1" width="4.453125" customWidth="1"/>
    <col min="2" max="2" width="30.90625" bestFit="1" customWidth="1"/>
    <col min="3" max="3" width="10.90625" customWidth="1"/>
    <col min="4" max="4" width="10.26953125" customWidth="1"/>
    <col min="7" max="7" width="30.90625" bestFit="1" customWidth="1"/>
    <col min="10" max="10" width="30.90625" bestFit="1" customWidth="1"/>
  </cols>
  <sheetData>
    <row r="2" spans="2:14" x14ac:dyDescent="0.35">
      <c r="B2" s="32" t="s">
        <v>84</v>
      </c>
      <c r="C2" s="3" t="s">
        <v>72</v>
      </c>
      <c r="D2" s="3">
        <v>15</v>
      </c>
      <c r="E2" s="3" t="s">
        <v>49</v>
      </c>
    </row>
    <row r="3" spans="2:14" x14ac:dyDescent="0.35">
      <c r="B3" s="32" t="s">
        <v>73</v>
      </c>
      <c r="C3" s="3" t="s">
        <v>74</v>
      </c>
      <c r="D3" s="3">
        <v>95</v>
      </c>
      <c r="E3" s="3" t="s">
        <v>31</v>
      </c>
    </row>
    <row r="4" spans="2:14" x14ac:dyDescent="0.35">
      <c r="B4" s="32" t="s">
        <v>75</v>
      </c>
      <c r="C4" s="3" t="s">
        <v>76</v>
      </c>
      <c r="D4" s="3">
        <v>26</v>
      </c>
      <c r="E4" s="3" t="s">
        <v>2</v>
      </c>
    </row>
    <row r="5" spans="2:14" x14ac:dyDescent="0.35">
      <c r="B5" s="32" t="s">
        <v>77</v>
      </c>
      <c r="C5" s="3" t="s">
        <v>86</v>
      </c>
      <c r="D5" s="3">
        <v>1.2</v>
      </c>
      <c r="E5" s="3" t="s">
        <v>85</v>
      </c>
    </row>
    <row r="6" spans="2:14" x14ac:dyDescent="0.35">
      <c r="B6" s="32" t="s">
        <v>78</v>
      </c>
      <c r="C6" s="3" t="s">
        <v>79</v>
      </c>
      <c r="D6" s="3">
        <v>79</v>
      </c>
      <c r="E6" s="3" t="s">
        <v>15</v>
      </c>
    </row>
    <row r="7" spans="2:14" x14ac:dyDescent="0.35">
      <c r="B7" s="32" t="s">
        <v>80</v>
      </c>
      <c r="C7" s="3" t="s">
        <v>81</v>
      </c>
      <c r="D7" s="3">
        <v>81</v>
      </c>
      <c r="E7" s="3" t="s">
        <v>15</v>
      </c>
    </row>
    <row r="8" spans="2:14" x14ac:dyDescent="0.35">
      <c r="B8" s="32" t="s">
        <v>82</v>
      </c>
      <c r="C8" s="3" t="s">
        <v>83</v>
      </c>
      <c r="D8" s="3">
        <v>64</v>
      </c>
      <c r="E8" s="3" t="s">
        <v>24</v>
      </c>
      <c r="N8" s="31"/>
    </row>
    <row r="10" spans="2:14" x14ac:dyDescent="0.35">
      <c r="B10" s="32" t="s">
        <v>92</v>
      </c>
      <c r="C10" s="3" t="s">
        <v>87</v>
      </c>
      <c r="D10" s="33">
        <f>D5/1000*D2^2*D3/100</f>
        <v>0.25649999999999995</v>
      </c>
      <c r="E10" s="3" t="s">
        <v>88</v>
      </c>
    </row>
    <row r="11" spans="2:14" x14ac:dyDescent="0.35">
      <c r="B11" s="32" t="s">
        <v>89</v>
      </c>
      <c r="C11" s="3" t="s">
        <v>90</v>
      </c>
      <c r="D11" s="33">
        <f>1/2*D4*D2*(D6+D7)*D8/1000000</f>
        <v>1.9967999999999999</v>
      </c>
      <c r="E11" s="3" t="s">
        <v>88</v>
      </c>
    </row>
    <row r="12" spans="2:14" x14ac:dyDescent="0.35">
      <c r="B12" s="32" t="s">
        <v>93</v>
      </c>
      <c r="C12" s="3" t="s">
        <v>91</v>
      </c>
      <c r="D12" s="33">
        <f>D10*2+D11</f>
        <v>2.5097999999999998</v>
      </c>
      <c r="E12" s="3" t="s">
        <v>88</v>
      </c>
    </row>
    <row r="13" spans="2:14" x14ac:dyDescent="0.35">
      <c r="D13" s="34"/>
    </row>
    <row r="14" spans="2:14" x14ac:dyDescent="0.35">
      <c r="B14" t="s">
        <v>94</v>
      </c>
    </row>
    <row r="15" spans="2:14" x14ac:dyDescent="0.35">
      <c r="B15" t="s">
        <v>95</v>
      </c>
    </row>
    <row r="16" spans="2:14" x14ac:dyDescent="0.35">
      <c r="B16" t="s">
        <v>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CD3F01-14CE-4C7D-98F7-37B2C10E12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HMI</vt:lpstr>
      <vt:lpstr>CAL_Cboot</vt:lpstr>
      <vt:lpstr>CAL_Fets</vt:lpstr>
      <vt:lpstr>CAL_Rg</vt:lpstr>
      <vt:lpstr>CAL_VSENSE</vt:lpstr>
      <vt:lpstr>CAL_Rshunt</vt:lpstr>
      <vt:lpstr>CAL_ISENSE_ARCH</vt:lpstr>
      <vt:lpstr>CAL_Rv1-2</vt:lpstr>
      <vt:lpstr>DB_LIMITS</vt:lpstr>
      <vt:lpstr>DB_GD</vt:lpstr>
      <vt:lpstr>DB_R</vt:lpstr>
      <vt:lpstr>DB_D</vt:lpstr>
      <vt:lpstr>DB_FETS</vt:lpstr>
      <vt:lpstr>DB_ADC</vt:lpstr>
      <vt:lpstr>Mosfet</vt:lpstr>
      <vt:lpstr>Radc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BINON Stepane</dc:creator>
  <cp:lastModifiedBy>BINON Stepane</cp:lastModifiedBy>
  <dcterms:created xsi:type="dcterms:W3CDTF">2026-02-03T11:31:37Z</dcterms:created>
  <dcterms:modified xsi:type="dcterms:W3CDTF">2026-03-01T10:39:58Z</dcterms:modified>
</cp:coreProperties>
</file>