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93A54ED9-CDC6-4C22-9B90-6ED0D557FDA3}" xr6:coauthVersionLast="47" xr6:coauthVersionMax="47" xr10:uidLastSave="{00000000-0000-0000-0000-000000000000}"/>
  <bookViews>
    <workbookView xWindow="-110" yWindow="-110" windowWidth="25820" windowHeight="15500" xr2:uid="{A7311F5B-F8BB-4208-8795-7C9379CFEF1C}"/>
  </bookViews>
  <sheets>
    <sheet name="INPUTS" sheetId="6" r:id="rId1"/>
    <sheet name="CAL_VSENSE" sheetId="1" r:id="rId2"/>
    <sheet name="CAL_ISENSE" sheetId="2" r:id="rId3"/>
    <sheet name="CAL_HB" sheetId="4" r:id="rId4"/>
    <sheet name="DB_GD" sheetId="17" r:id="rId5"/>
    <sheet name="DB_MOSFETS" sheetId="7" r:id="rId6"/>
    <sheet name="DB_ADC" sheetId="11" r:id="rId7"/>
    <sheet name="DB_LIMITS" sheetId="9" r:id="rId8"/>
    <sheet name="DB_TRACE" sheetId="15" r:id="rId9"/>
    <sheet name="Mosfet" sheetId="3" state="hidden" r:id="rId10"/>
  </sheets>
  <definedNames>
    <definedName name="Radc">INPUTS!$H$18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4" l="1"/>
  <c r="N15" i="6"/>
  <c r="M15" i="6"/>
  <c r="M16" i="6"/>
  <c r="N4" i="6"/>
  <c r="N25" i="6"/>
  <c r="L2" i="4" s="1"/>
  <c r="M31" i="6"/>
  <c r="M30" i="6"/>
  <c r="B5" i="6"/>
  <c r="T7" i="9"/>
  <c r="W7" i="9" s="1"/>
  <c r="L7" i="9"/>
  <c r="K7" i="9"/>
  <c r="E6" i="6"/>
  <c r="I2" i="4" s="1"/>
  <c r="R2" i="1"/>
  <c r="N21" i="1"/>
  <c r="N20" i="1"/>
  <c r="N17" i="1"/>
  <c r="D35" i="1" s="1"/>
  <c r="N16" i="1"/>
  <c r="N23" i="1"/>
  <c r="N9" i="1"/>
  <c r="N7" i="1"/>
  <c r="B11" i="6"/>
  <c r="B9" i="6"/>
  <c r="B10" i="6"/>
  <c r="A11" i="6"/>
  <c r="A9" i="6"/>
  <c r="T3" i="9"/>
  <c r="W3" i="9" s="1"/>
  <c r="L3" i="9"/>
  <c r="K3" i="9"/>
  <c r="T5" i="9"/>
  <c r="W5" i="9" s="1"/>
  <c r="L5" i="9"/>
  <c r="K5" i="9"/>
  <c r="T4" i="9"/>
  <c r="W4" i="9" s="1"/>
  <c r="L4" i="9"/>
  <c r="K4" i="9"/>
  <c r="E9" i="6"/>
  <c r="A10" i="6"/>
  <c r="A12" i="6"/>
  <c r="M2" i="1" s="1"/>
  <c r="D7" i="6"/>
  <c r="D8" i="6"/>
  <c r="D6" i="6"/>
  <c r="E7" i="6"/>
  <c r="D9" i="6"/>
  <c r="E8" i="6"/>
  <c r="D5" i="7"/>
  <c r="E5" i="7"/>
  <c r="E14" i="6"/>
  <c r="D14" i="6"/>
  <c r="E13" i="6"/>
  <c r="D13" i="6"/>
  <c r="D12" i="6"/>
  <c r="E12" i="6"/>
  <c r="B2" i="4"/>
  <c r="A2" i="4"/>
  <c r="E5" i="6"/>
  <c r="D5" i="6"/>
  <c r="N8" i="6"/>
  <c r="N7" i="6"/>
  <c r="N6" i="6"/>
  <c r="N5" i="6"/>
  <c r="D2" i="4"/>
  <c r="A16" i="6"/>
  <c r="T6" i="9"/>
  <c r="W6" i="9" s="1"/>
  <c r="T2" i="9"/>
  <c r="W2" i="9" s="1"/>
  <c r="M8" i="6"/>
  <c r="M7" i="6"/>
  <c r="M6" i="6"/>
  <c r="M5" i="6"/>
  <c r="M29" i="6"/>
  <c r="J2" i="4"/>
  <c r="K2" i="4"/>
  <c r="M28" i="6"/>
  <c r="M27" i="6"/>
  <c r="M26" i="6"/>
  <c r="M13" i="6"/>
  <c r="T2" i="4"/>
  <c r="M4" i="6"/>
  <c r="C2" i="4"/>
  <c r="G2" i="4"/>
  <c r="F2" i="4"/>
  <c r="L6" i="9"/>
  <c r="K6" i="9"/>
  <c r="J12" i="2"/>
  <c r="J9" i="2"/>
  <c r="J10" i="2" s="1"/>
  <c r="K7" i="6"/>
  <c r="K13" i="6" s="1"/>
  <c r="J7" i="6"/>
  <c r="K6" i="6"/>
  <c r="J6" i="6"/>
  <c r="K5" i="6"/>
  <c r="J5" i="6"/>
  <c r="K4" i="6"/>
  <c r="J8" i="2" s="1"/>
  <c r="J4" i="6"/>
  <c r="D42" i="1"/>
  <c r="B42" i="1"/>
  <c r="G6" i="6"/>
  <c r="H6" i="6"/>
  <c r="H25" i="6" s="1"/>
  <c r="G42" i="1" a="1"/>
  <c r="G42" i="1" s="1"/>
  <c r="H42" i="1" s="1"/>
  <c r="G24" i="6"/>
  <c r="G23" i="6"/>
  <c r="G17" i="6"/>
  <c r="H5" i="6"/>
  <c r="G5" i="6"/>
  <c r="E2" i="11"/>
  <c r="H7" i="6"/>
  <c r="H12" i="6" s="1"/>
  <c r="H4" i="6"/>
  <c r="N4" i="1" s="1"/>
  <c r="G7" i="6"/>
  <c r="G4" i="6"/>
  <c r="A7" i="6"/>
  <c r="A8" i="6"/>
  <c r="M3" i="1" s="1"/>
  <c r="A6" i="6"/>
  <c r="A5" i="6"/>
  <c r="A4" i="6"/>
  <c r="L2" i="9"/>
  <c r="K2" i="9"/>
  <c r="E4" i="6"/>
  <c r="D4" i="6"/>
  <c r="E15" i="6"/>
  <c r="E11" i="6"/>
  <c r="E10" i="6"/>
  <c r="D15" i="6"/>
  <c r="D11" i="6"/>
  <c r="D10" i="6"/>
  <c r="D10" i="3"/>
  <c r="D11" i="3"/>
  <c r="D12" i="3" s="1"/>
  <c r="H35" i="1" l="1"/>
  <c r="AC2" i="4"/>
  <c r="N26" i="6" s="1" a="1"/>
  <c r="N26" i="6" s="1"/>
  <c r="AE2" i="4"/>
  <c r="E2" i="4"/>
  <c r="AB2" i="4" s="1"/>
  <c r="N29" i="6" s="1" a="1"/>
  <c r="N29" i="6" s="1"/>
  <c r="J11" i="2"/>
  <c r="E35" i="1"/>
  <c r="R7" i="1"/>
  <c r="B4" i="2"/>
  <c r="B5" i="2" s="1"/>
  <c r="R3" i="1"/>
  <c r="N22" i="1"/>
  <c r="R6" i="1" s="1"/>
  <c r="H2" i="4" l="1"/>
  <c r="B7" i="2"/>
  <c r="R8" i="1"/>
  <c r="B8" i="2" l="1"/>
  <c r="B9" i="2" l="1"/>
  <c r="K17" i="6" l="1"/>
  <c r="B10" i="2"/>
  <c r="B11" i="2" l="1"/>
  <c r="B12" i="2" l="1"/>
  <c r="B13" i="2" l="1"/>
  <c r="B14" i="2" l="1"/>
  <c r="E42" i="1"/>
  <c r="H23" i="6" s="1" a="1"/>
  <c r="H23" i="6" s="1"/>
  <c r="H26" i="6" l="1"/>
  <c r="F42" i="1" a="1"/>
  <c r="F42" i="1" s="1"/>
  <c r="H24" i="6" s="1" a="1"/>
  <c r="H24" i="6" s="1"/>
  <c r="B16" i="6"/>
  <c r="N2" i="4"/>
  <c r="B6" i="6"/>
  <c r="B15" i="6"/>
  <c r="J6" i="2" s="1"/>
  <c r="B14" i="6"/>
  <c r="J5" i="2" s="1"/>
  <c r="B12" i="6"/>
  <c r="H27" i="6" s="1"/>
  <c r="J3" i="2"/>
  <c r="B8" i="6"/>
  <c r="E17" i="6" s="1"/>
  <c r="B13" i="6"/>
  <c r="J4" i="2" s="1"/>
  <c r="B7" i="6"/>
  <c r="A13" i="6"/>
  <c r="I4" i="2" s="1"/>
  <c r="B4" i="6"/>
  <c r="A14" i="6"/>
  <c r="I5" i="2" s="1"/>
  <c r="A15" i="6"/>
  <c r="I6" i="2" s="1"/>
  <c r="W2" i="4" l="1"/>
  <c r="N10" i="1"/>
  <c r="E22" i="6"/>
  <c r="E19" i="6"/>
  <c r="H28" i="6"/>
  <c r="N2" i="1"/>
  <c r="M35" i="1" s="1"/>
  <c r="E21" i="6"/>
  <c r="F7" i="2"/>
  <c r="F8" i="2"/>
  <c r="F14" i="2"/>
  <c r="F12" i="2"/>
  <c r="F10" i="2"/>
  <c r="F9" i="2"/>
  <c r="K18" i="6" s="1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4" i="2"/>
  <c r="C8" i="2"/>
  <c r="C11" i="2"/>
  <c r="C6" i="2"/>
  <c r="E11" i="2"/>
  <c r="C10" i="2"/>
  <c r="E10" i="2"/>
  <c r="E4" i="2"/>
  <c r="C9" i="2"/>
  <c r="K22" i="6" s="1"/>
  <c r="E9" i="2"/>
  <c r="K19" i="6" s="1"/>
  <c r="E8" i="2"/>
  <c r="C14" i="2"/>
  <c r="E7" i="2"/>
  <c r="D11" i="2"/>
  <c r="G11" i="2" s="1"/>
  <c r="D9" i="2"/>
  <c r="K20" i="6" s="1"/>
  <c r="D10" i="2"/>
  <c r="G10" i="2" s="1"/>
  <c r="D13" i="2"/>
  <c r="G13" i="2" s="1"/>
  <c r="D8" i="2"/>
  <c r="G8" i="2" s="1"/>
  <c r="D7" i="2"/>
  <c r="G7" i="2" s="1"/>
  <c r="D4" i="2"/>
  <c r="G4" i="2" s="1"/>
  <c r="D14" i="2"/>
  <c r="G14" i="2" s="1"/>
  <c r="D5" i="2"/>
  <c r="G5" i="2" s="1"/>
  <c r="D12" i="2"/>
  <c r="G12" i="2" s="1"/>
  <c r="D6" i="2"/>
  <c r="G6" i="2" s="1"/>
  <c r="E18" i="6"/>
  <c r="N3" i="1"/>
  <c r="AG2" i="4"/>
  <c r="M2" i="4"/>
  <c r="X2" i="4" s="1"/>
  <c r="Y2" i="4" s="1"/>
  <c r="Q2" i="4" l="1"/>
  <c r="N5" i="1"/>
  <c r="C11" i="1" s="1"/>
  <c r="D11" i="1" s="1"/>
  <c r="R4" i="1"/>
  <c r="N13" i="1"/>
  <c r="N12" i="1"/>
  <c r="E23" i="6"/>
  <c r="E20" i="6"/>
  <c r="G9" i="2"/>
  <c r="K21" i="6" s="1"/>
  <c r="P2" i="4"/>
  <c r="N16" i="6" s="1" a="1"/>
  <c r="N16" i="6" s="1"/>
  <c r="R5" i="1"/>
  <c r="I35" i="1"/>
  <c r="C33" i="1"/>
  <c r="I33" i="1" s="1"/>
  <c r="C28" i="1"/>
  <c r="D28" i="1" s="1"/>
  <c r="C20" i="1"/>
  <c r="D20" i="1" s="1"/>
  <c r="C25" i="1"/>
  <c r="D25" i="1" s="1"/>
  <c r="C12" i="1"/>
  <c r="D12" i="1" s="1"/>
  <c r="C30" i="1"/>
  <c r="D30" i="1" s="1"/>
  <c r="C6" i="1"/>
  <c r="D6" i="1" s="1"/>
  <c r="C4" i="1"/>
  <c r="D4" i="1" s="1"/>
  <c r="C27" i="1"/>
  <c r="D27" i="1" s="1"/>
  <c r="C31" i="1"/>
  <c r="D31" i="1" s="1"/>
  <c r="C13" i="1"/>
  <c r="D13" i="1" s="1"/>
  <c r="C7" i="1"/>
  <c r="D7" i="1" s="1"/>
  <c r="C26" i="1"/>
  <c r="D26" i="1" s="1"/>
  <c r="C16" i="1"/>
  <c r="D16" i="1" s="1"/>
  <c r="C24" i="1"/>
  <c r="D24" i="1" s="1"/>
  <c r="C15" i="1"/>
  <c r="D15" i="1" s="1"/>
  <c r="C17" i="1"/>
  <c r="D17" i="1" s="1"/>
  <c r="C9" i="1"/>
  <c r="D9" i="1" s="1"/>
  <c r="C8" i="1"/>
  <c r="D8" i="1" s="1"/>
  <c r="C29" i="1"/>
  <c r="D29" i="1" s="1"/>
  <c r="C5" i="1"/>
  <c r="D5" i="1" s="1"/>
  <c r="C32" i="1"/>
  <c r="D32" i="1" s="1"/>
  <c r="Z2" i="4"/>
  <c r="N13" i="6" a="1"/>
  <c r="N13" i="6" s="1"/>
  <c r="AH2" i="4"/>
  <c r="AJ2" i="4" s="1"/>
  <c r="C14" i="1" l="1"/>
  <c r="D14" i="1" s="1"/>
  <c r="C21" i="1"/>
  <c r="D21" i="1" s="1"/>
  <c r="C23" i="1"/>
  <c r="D23" i="1" s="1"/>
  <c r="C19" i="1"/>
  <c r="D19" i="1" s="1"/>
  <c r="C18" i="1"/>
  <c r="D18" i="1" s="1"/>
  <c r="C22" i="1"/>
  <c r="D22" i="1" s="1"/>
  <c r="C10" i="1"/>
  <c r="D10" i="1" s="1"/>
  <c r="H10" i="1" s="1"/>
  <c r="S2" i="4"/>
  <c r="N14" i="6" s="1" a="1"/>
  <c r="N14" i="6" s="1"/>
  <c r="O2" i="4"/>
  <c r="N34" i="6"/>
  <c r="I18" i="1"/>
  <c r="K18" i="1" s="1"/>
  <c r="I15" i="1"/>
  <c r="I14" i="1"/>
  <c r="K14" i="1" s="1"/>
  <c r="I16" i="1"/>
  <c r="K16" i="1" s="1"/>
  <c r="I12" i="1"/>
  <c r="J12" i="1" s="1"/>
  <c r="I10" i="1"/>
  <c r="J10" i="1" s="1"/>
  <c r="I26" i="1"/>
  <c r="J26" i="1" s="1"/>
  <c r="I23" i="1"/>
  <c r="K23" i="1" s="1"/>
  <c r="I13" i="1"/>
  <c r="J13" i="1" s="1"/>
  <c r="I8" i="1"/>
  <c r="K8" i="1" s="1"/>
  <c r="I7" i="1"/>
  <c r="J7" i="1" s="1"/>
  <c r="I28" i="1"/>
  <c r="K28" i="1" s="1"/>
  <c r="H29" i="1"/>
  <c r="E29" i="1"/>
  <c r="E6" i="1"/>
  <c r="H6" i="1"/>
  <c r="H19" i="1"/>
  <c r="E19" i="1"/>
  <c r="I29" i="1"/>
  <c r="H21" i="1"/>
  <c r="E21" i="1"/>
  <c r="E8" i="1"/>
  <c r="H8" i="1"/>
  <c r="I22" i="1"/>
  <c r="J33" i="1"/>
  <c r="K33" i="1"/>
  <c r="E27" i="1"/>
  <c r="H27" i="1"/>
  <c r="E32" i="1"/>
  <c r="H32" i="1"/>
  <c r="E5" i="1"/>
  <c r="H5" i="1"/>
  <c r="I32" i="1"/>
  <c r="E28" i="1"/>
  <c r="H28" i="1"/>
  <c r="I11" i="1"/>
  <c r="I24" i="1"/>
  <c r="E14" i="1"/>
  <c r="H14" i="1"/>
  <c r="H9" i="1"/>
  <c r="E9" i="1"/>
  <c r="E23" i="1"/>
  <c r="H23" i="1"/>
  <c r="I6" i="1"/>
  <c r="E22" i="1"/>
  <c r="H22" i="1"/>
  <c r="E17" i="1"/>
  <c r="H17" i="1"/>
  <c r="J15" i="1"/>
  <c r="K15" i="1"/>
  <c r="I9" i="1"/>
  <c r="E15" i="1"/>
  <c r="H15" i="1"/>
  <c r="H11" i="1"/>
  <c r="E11" i="1"/>
  <c r="H24" i="1"/>
  <c r="E24" i="1"/>
  <c r="H12" i="1"/>
  <c r="E12" i="1"/>
  <c r="I19" i="1"/>
  <c r="I27" i="1"/>
  <c r="E16" i="1"/>
  <c r="H16" i="1"/>
  <c r="E25" i="1"/>
  <c r="H25" i="1"/>
  <c r="I17" i="1"/>
  <c r="I30" i="1"/>
  <c r="E26" i="1"/>
  <c r="H26" i="1"/>
  <c r="E20" i="1"/>
  <c r="H20" i="1"/>
  <c r="I5" i="1"/>
  <c r="I25" i="1"/>
  <c r="E7" i="1"/>
  <c r="H7" i="1"/>
  <c r="E13" i="1"/>
  <c r="H13" i="1"/>
  <c r="D33" i="1"/>
  <c r="M33" i="1"/>
  <c r="I31" i="1"/>
  <c r="I4" i="1"/>
  <c r="E4" i="1"/>
  <c r="H4" i="1"/>
  <c r="K35" i="1"/>
  <c r="J35" i="1"/>
  <c r="E30" i="1"/>
  <c r="H30" i="1"/>
  <c r="H18" i="1"/>
  <c r="E18" i="1"/>
  <c r="E31" i="1"/>
  <c r="H31" i="1"/>
  <c r="I20" i="1"/>
  <c r="I21" i="1"/>
  <c r="E10" i="1" l="1"/>
  <c r="J14" i="1"/>
  <c r="J16" i="1"/>
  <c r="J18" i="1"/>
  <c r="K10" i="1"/>
  <c r="N38" i="6"/>
  <c r="E27" i="6" s="1"/>
  <c r="N35" i="6"/>
  <c r="N37" i="6" s="1"/>
  <c r="AK2" i="4"/>
  <c r="J23" i="1"/>
  <c r="K26" i="1"/>
  <c r="K13" i="1"/>
  <c r="K7" i="1"/>
  <c r="J28" i="1"/>
  <c r="K12" i="1"/>
  <c r="J8" i="1"/>
  <c r="J22" i="1"/>
  <c r="K22" i="1"/>
  <c r="J21" i="1"/>
  <c r="K21" i="1"/>
  <c r="J11" i="1"/>
  <c r="K11" i="1"/>
  <c r="K4" i="1"/>
  <c r="J4" i="1"/>
  <c r="J20" i="1"/>
  <c r="K20" i="1"/>
  <c r="J32" i="1"/>
  <c r="K32" i="1"/>
  <c r="H33" i="1"/>
  <c r="E33" i="1"/>
  <c r="K6" i="1"/>
  <c r="J6" i="1"/>
  <c r="K24" i="1"/>
  <c r="J24" i="1"/>
  <c r="J25" i="1"/>
  <c r="K25" i="1"/>
  <c r="K27" i="1"/>
  <c r="J27" i="1"/>
  <c r="K9" i="1"/>
  <c r="J9" i="1"/>
  <c r="J17" i="1"/>
  <c r="K17" i="1"/>
  <c r="J5" i="1"/>
  <c r="K5" i="1"/>
  <c r="J19" i="1"/>
  <c r="K19" i="1"/>
  <c r="K29" i="1"/>
  <c r="J29" i="1"/>
  <c r="K31" i="1"/>
  <c r="J31" i="1"/>
  <c r="J30" i="1"/>
  <c r="K3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33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N15" i="1"/>
  <c r="G22" i="1" l="1"/>
  <c r="G20" i="1"/>
  <c r="G16" i="1"/>
  <c r="G12" i="1"/>
  <c r="G28" i="1"/>
  <c r="G27" i="1"/>
  <c r="G29" i="1"/>
  <c r="G24" i="1"/>
  <c r="E28" i="6"/>
  <c r="N36" i="6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  <c r="AM2" i="4" l="1"/>
  <c r="V2" i="4"/>
  <c r="AA2" i="4" s="1"/>
  <c r="AF2" i="4"/>
  <c r="N30" i="6" s="1" a="1"/>
  <c r="N30" i="6" s="1"/>
  <c r="AD2" i="4" l="1"/>
  <c r="N28" i="6" s="1" a="1"/>
  <c r="N28" i="6" s="1"/>
  <c r="N27" i="6" a="1"/>
  <c r="N27" i="6" s="1"/>
  <c r="AL2" i="4" l="1"/>
  <c r="N31" i="6" s="1" a="1"/>
  <c r="N31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<sst xmlns="http://schemas.openxmlformats.org/spreadsheetml/2006/main" count="387" uniqueCount="287">
  <si>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</si>
  <si>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</si>
  <si>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</si>
  <si>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</si>
  <si>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</si>
  <si>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</si>
  <si>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</si>
  <si>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</si>
  <si>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</si>
  <si>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</si>
  <si>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</si>
  <si>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</si>
  <si>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</si>
  <si>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</si>
  <si>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</si>
  <si>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</si>
  <si>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</si>
  <si>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</si>
  <si>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</si>
  <si>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</si>
  <si>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</si>
  <si>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</si>
  <si>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</si>
  <si>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</si>
  <si>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</si>
  <si>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</si>
  <si>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</si>
  <si>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</si>
  <si>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</si>
  <si>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</si>
  <si>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</si>
  <si>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</si>
  <si>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</si>
  <si>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</si>
  <si>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</si>
  <si>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</si>
  <si>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</si>
  <si>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</si>
  <si>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</si>
  <si>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</si>
  <si>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</si>
  <si>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</si>
  <si>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</si>
  <si>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</si>
  <si>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</si>
  <si>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</si>
  <si>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</si>
  <si>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</si>
  <si>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</si>
  <si>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</si>
  <si>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</si>
  <si>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</si>
  <si>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</si>
  <si>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</si>
  <si>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</si>
  <si>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</si>
  <si>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</si>
  <si>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</si>
  <si>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</si>
  <si>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</si>
  <si>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</si>
  <si>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</si>
  <si>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</si>
  <si>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</si>
  <si>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</si>
  <si>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</si>
  <si>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</si>
  <si>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</si>
  <si>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</si>
  <si>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</si>
  <si>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</si>
  <si>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</si>
  <si>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</si>
  <si>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</si>
  <si>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</si>
  <si>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</si>
  <si>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</si>
  <si>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</si>
  <si>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</si>
  <si>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</si>
  <si>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</si>
  <si>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</si>
  <si>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</si>
  <si>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</si>
  <si>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</si>
  <si>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</si>
  <si>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</si>
  <si>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</si>
  <si>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</si>
  <si>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</si>
  <si>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</si>
  <si>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</si>
  <si>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</si>
  <si>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</si>
  <si>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</si>
  <si>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</si>
  <si>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</si>
  <si>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</si>
  <si>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</si>
  <si>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Vhbh (V)</t>
  </si>
  <si>
    <t>Qg (nC)</t>
  </si>
  <si>
    <t>Ipulldown (mA)</t>
  </si>
  <si>
    <t>Ihbs (mA)</t>
  </si>
  <si>
    <t>Ihb (mA)</t>
  </si>
  <si>
    <t>Fsw min (kHz)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</si>
  <si>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Vbootmax (V)</t>
    </r>
  </si>
  <si>
    <t>ΔVboot (V)</t>
  </si>
  <si>
    <t>C secu (NU)</t>
  </si>
  <si>
    <t>Fmax (kHz)</t>
  </si>
  <si>
    <t>Max duty (%)</t>
  </si>
  <si>
    <t>Toff (µs)</t>
  </si>
  <si>
    <t>Tcharge (µs)</t>
  </si>
  <si>
    <t>Rf (Ω)</t>
  </si>
  <si>
    <t>Imaxext (A)</t>
  </si>
  <si>
    <t>Cbootmin (nF)</t>
  </si>
  <si>
    <t>Qfreq_max (nC)</t>
  </si>
  <si>
    <t>Max Fsw (kHz)</t>
  </si>
  <si>
    <t>Safety (NU)</t>
  </si>
  <si>
    <t>Imaxmeqn (mA)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</si>
  <si>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</si>
  <si>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</si>
  <si>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</si>
  <si>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</si>
  <si>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</si>
  <si>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</si>
  <si>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</si>
  <si>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</si>
  <si>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</si>
  <si>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</si>
  <si>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</si>
  <si>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</si>
  <si>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</si>
  <si>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</si>
  <si>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</si>
  <si>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</si>
  <si>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Chose the version:</t>
  </si>
  <si>
    <t>V1.0</t>
  </si>
  <si>
    <t>V2.0</t>
  </si>
  <si>
    <t>D (%)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</si>
  <si>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</si>
  <si>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</si>
  <si>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</si>
  <si>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</si>
  <si>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</si>
  <si>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</si>
  <si>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</si>
  <si>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</si>
  <si>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</si>
  <si>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</si>
  <si>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</si>
  <si>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</si>
  <si>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</si>
  <si>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Fsamp,max (MHz)</t>
  </si>
  <si>
    <t>Vin,max@vin (V)</t>
  </si>
  <si>
    <t>Filling cycles</t>
  </si>
  <si>
    <t>Resolution (mV/step)</t>
  </si>
  <si>
    <t>Rbot/Rtop</t>
  </si>
  <si>
    <t>Radc (Ω)</t>
  </si>
  <si>
    <t>Rth (Ω)</t>
  </si>
  <si>
    <t>Vinadc = Vdd (V)</t>
  </si>
  <si>
    <t>Iadc (mA)</t>
  </si>
  <si>
    <t>Ctrace (pF/mm)</t>
  </si>
  <si>
    <t>Cext,adc (pF)</t>
  </si>
  <si>
    <r>
      <t>Rtrace (m</t>
    </r>
    <r>
      <rPr>
        <sz val="11"/>
        <color theme="1"/>
        <rFont val="Aptos Narrow"/>
        <family val="2"/>
      </rPr>
      <t>Ω/mm)</t>
    </r>
  </si>
  <si>
    <t>R_CinToAdc (Ω)</t>
  </si>
  <si>
    <t>Charge Factor</t>
  </si>
  <si>
    <t>S*RCint (ps)</t>
  </si>
  <si>
    <t>Cadc,max (pF)</t>
  </si>
  <si>
    <t>t_Cadc_filled (ns)</t>
  </si>
  <si>
    <t>t_filling (ns)</t>
  </si>
  <si>
    <t>t_Cext_filled (ns)</t>
  </si>
  <si>
    <t>ADC Vsense</t>
  </si>
  <si>
    <t>Vsense</t>
  </si>
  <si>
    <t>Min blank time (ns)</t>
  </si>
  <si>
    <t>ADC/OpAmp Isense</t>
  </si>
  <si>
    <t>OpAmp gain</t>
  </si>
  <si>
    <t>Isense</t>
  </si>
  <si>
    <r>
      <t>Rshunt (µ</t>
    </r>
    <r>
      <rPr>
        <sz val="11"/>
        <color theme="1"/>
        <rFont val="Aptos Narrow"/>
        <family val="2"/>
      </rPr>
      <t>Ω)</t>
    </r>
  </si>
  <si>
    <t>Resolution (mA/step)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</si>
  <si>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</si>
  <si>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</si>
  <si>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</si>
  <si>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Power supplies</t>
  </si>
  <si>
    <t>Vdd,gd (V)</t>
  </si>
  <si>
    <t>Vdd,mcu (V)</t>
  </si>
  <si>
    <t>Half Bridge</t>
  </si>
  <si>
    <t>Gate Driver</t>
  </si>
  <si>
    <t>2EDL8024</t>
  </si>
  <si>
    <r>
      <t>Rboot,int (</t>
    </r>
    <r>
      <rPr>
        <sz val="11"/>
        <color theme="1"/>
        <rFont val="Aptos Narrow"/>
        <family val="2"/>
      </rPr>
      <t>Ω)</t>
    </r>
  </si>
  <si>
    <t>Rboot,ext (Ω)</t>
  </si>
  <si>
    <t>Rpulldown,gate (kΩ)</t>
  </si>
  <si>
    <t>Ipulldown,gate (mA)</t>
  </si>
  <si>
    <r>
      <t>Rboot (</t>
    </r>
    <r>
      <rPr>
        <sz val="11"/>
        <color theme="1"/>
        <rFont val="Aptos Narrow"/>
        <family val="2"/>
      </rPr>
      <t>Ω)</t>
    </r>
  </si>
  <si>
    <t>Cboot,min (nF)</t>
  </si>
  <si>
    <t>Scboot,secu</t>
  </si>
  <si>
    <t xml:space="preserve">DCboot,biais </t>
  </si>
  <si>
    <t>Toff,charge (µs)</t>
  </si>
  <si>
    <t>Vfint,100mA (V)</t>
  </si>
  <si>
    <t>Vfext,100mA (V)</t>
  </si>
  <si>
    <t>Vboot0 (V)</t>
  </si>
  <si>
    <t>Vbootinf (V)</t>
  </si>
  <si>
    <t>Vbootfinal (V)</t>
  </si>
  <si>
    <r>
      <t>Rg,on+off (</t>
    </r>
    <r>
      <rPr>
        <sz val="11"/>
        <color theme="1"/>
        <rFont val="Aptos Narrow"/>
        <family val="2"/>
      </rPr>
      <t>Ω)</t>
    </r>
  </si>
  <si>
    <t>Conduction losses (W/fet)</t>
  </si>
  <si>
    <t>Rpu,hs (Ω)</t>
  </si>
  <si>
    <t>Rpu,ls (Ω)</t>
  </si>
  <si>
    <t>Rpd,hs (Ω)</t>
  </si>
  <si>
    <t>Rpd,ls (Ω)</t>
  </si>
  <si>
    <t>Qt,on (nC)</t>
  </si>
  <si>
    <t>Qt,off (nC)</t>
  </si>
  <si>
    <t>Dissipated in Rg hs pu (W)</t>
  </si>
  <si>
    <t xml:space="preserve"> </t>
  </si>
  <si>
    <t>Conduction losses max (W/ESC)</t>
  </si>
  <si>
    <t>ΔV@Ispike (V)</t>
  </si>
  <si>
    <t>ΔV@Imax (V)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</si>
  <si>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</si>
  <si>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</si>
  <si>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</si>
  <si>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</si>
  <si>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</si>
  <si>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</si>
  <si>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</si>
  <si>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</si>
  <si>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</si>
  <si>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</si>
  <si>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Go to Isense calc page</t>
  </si>
  <si>
    <t>JLCPBC stock</t>
  </si>
  <si>
    <t>Dissipate in IC (W/fet)</t>
  </si>
  <si>
    <t>Dissipate in Rg,on+off (W/fet)</t>
  </si>
  <si>
    <t>Dissipate in Rg,off (W/fet)</t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</si>
  <si>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</si>
  <si>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</si>
  <si>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</si>
  <si>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Switching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</si>
  <si>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</si>
  <si>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>Switching losses @</t>
    </r>
    <r>
      <rPr>
        <b/>
        <sz val="11"/>
        <color theme="1"/>
        <rFont val="Aptos Narrow"/>
        <family val="2"/>
        <scheme val="minor"/>
      </rPr>
      <t xml:space="preserve"> Imax </t>
    </r>
    <r>
      <rPr>
        <sz val="11"/>
        <color theme="1"/>
        <rFont val="Aptos Narrow"/>
        <family val="2"/>
        <scheme val="minor"/>
      </rPr>
      <t>(W/fet)</t>
    </r>
  </si>
  <si>
    <t>Vds (V)</t>
  </si>
  <si>
    <t>TPN4R806PL</t>
  </si>
  <si>
    <t>Toshiba</t>
  </si>
  <si>
    <t>Id,pulsed (A)</t>
  </si>
  <si>
    <t>TOTAL POWER MAX (W)</t>
  </si>
  <si>
    <t>TOTAL POWER MEAN (W)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</si>
  <si>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</si>
  <si>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</si>
  <si>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</si>
  <si>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</si>
  <si>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</si>
  <si>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</si>
  <si>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</si>
  <si>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</si>
  <si>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</si>
  <si>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</si>
  <si>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</si>
  <si>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</si>
  <si>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</si>
  <si>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</si>
  <si>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</si>
  <si>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</si>
  <si>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</si>
  <si>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</si>
  <si>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</si>
  <si>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</si>
  <si>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Vbat max (V)</t>
  </si>
  <si>
    <t>Vbat min (V)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</si>
  <si>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</si>
  <si>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</si>
  <si>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</si>
  <si>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</si>
  <si>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</si>
  <si>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</si>
  <si>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</si>
  <si>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Mosfet switching</t>
  </si>
  <si>
    <t>Mosfet conducting</t>
  </si>
  <si>
    <t>Average VDS (V)</t>
  </si>
  <si>
    <t>Highest frequency (Fmax)</t>
  </si>
  <si>
    <t>CSD18540Q5B</t>
  </si>
  <si>
    <t>TI</t>
  </si>
  <si>
    <t>Qg,typ,sync @ 10V (nC)</t>
  </si>
  <si>
    <t>Depend of Rg</t>
  </si>
  <si>
    <t>V1.0 (48kHz + hard flight)</t>
  </si>
  <si>
    <t>Tau Cboot (µs)</t>
  </si>
  <si>
    <t>Tau Qg,on (µs)</t>
  </si>
  <si>
    <t>Tau Qg,off (ns)</t>
  </si>
  <si>
    <t>Column1</t>
  </si>
  <si>
    <t>Consomation (nC/period)</t>
  </si>
  <si>
    <t>Max current on (A)</t>
  </si>
  <si>
    <t>Cbootmin,safe (nF)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</si>
</sst>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6" borderId="1" xfId="0" applyFill="1" applyBorder="1"/>
    <xf numFmtId="0" fontId="2" fillId="3" borderId="1" xfId="0" applyFont="1" applyFill="1" applyBorder="1" applyAlignment="1">
      <alignment horizontal="center"/>
    </xf>
    <xf numFmtId="0" fontId="0" fillId="0" borderId="14" xfId="0" applyBorder="1"/>
    <xf numFmtId="2" fontId="0" fillId="0" borderId="0" xfId="0" applyNumberFormat="1"/>
    <xf numFmtId="0" fontId="0" fillId="8" borderId="1" xfId="0" applyFill="1" applyBorder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6" borderId="16" xfId="0" applyFill="1" applyBorder="1"/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0" fontId="0" fillId="7" borderId="21" xfId="0" applyFill="1" applyBorder="1"/>
    <xf numFmtId="0" fontId="0" fillId="8" borderId="21" xfId="0" applyFill="1" applyBorder="1"/>
    <xf numFmtId="0" fontId="0" fillId="0" borderId="2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6" fillId="0" borderId="0" xfId="0" applyFont="1"/>
    <xf numFmtId="0" fontId="8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1" fillId="5" borderId="1" xfId="0" applyFont="1" applyFill="1" applyBorder="1"/>
    <xf numFmtId="167" fontId="1" fillId="0" borderId="1" xfId="0" applyNumberFormat="1" applyFont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7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7" formatCode="0.0"/>
      <alignment horizontal="center" vertical="bottom" textRotation="0" wrapText="0" indent="0" justifyLastLine="0" shrinkToFit="0" readingOrder="0"/>
    </dxf>
    <dxf>
      <numFmt numFmtId="166" formatCode="0.0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70" dataDxfId="69" tableBorderDxfId="68">
  <autoFilter ref="B41:H42" xr:uid="{E3A51FEF-4642-4801-A998-5B5D5B7E25A4}"/>
  <tableColumns count="7">
    <tableColumn id="1" xr3:uid="{72CE8DA8-6563-4322-AABC-36ACF43055CB}" name="Rbot (Ω)" dataDxfId="67">
      <calculatedColumnFormula>INPUTS!H16</calculatedColumnFormula>
    </tableColumn>
    <tableColumn id="2" xr3:uid="{24747B59-61B7-4C72-90DC-263488210056}" name="Rbot/Rtop" dataDxfId="66"/>
    <tableColumn id="3" xr3:uid="{DDE3289D-88E0-4C7D-87FD-D3D69E79F10D}" name="Rtop (Ω)" dataDxfId="65">
      <calculatedColumnFormula>INPUTS!H17</calculatedColumnFormula>
    </tableColumn>
    <tableColumn id="4" xr3:uid="{6958CE2B-2C13-409D-93AE-44178BFFDA66}" name="Rth (Ω)" dataDxfId="64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63">
      <calculatedColumnFormula array="1">DB_ADC[Vinadc = Vdd (V)]/CAL_Vsense[[#This Row],[Rth (Ω)]]*1000</calculatedColumnFormula>
    </tableColumn>
    <tableColumn id="6" xr3:uid="{C0D5F77C-6884-4436-8011-5E3C9BAF9068}" name="R_CinToAdc (Ω)" dataDxfId="62">
      <calculatedColumnFormula array="1">INPUTS!H20*DB_trace[Rtrace (mΩ/mm)]/1000</calculatedColumnFormula>
    </tableColumn>
    <tableColumn id="7" xr3:uid="{33243AAC-B51F-4185-98EF-90101F594D74}" name="S*RCint (ps)" dataDxfId="61">
      <calculatedColumnFormula>INPUTS!H21*CAL_Vsense[[#This Row],[R_CinToAdc (Ω)]]*INPUTS!H20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60" dataDxfId="58" headerRowBorderDxfId="59" tableBorderDxfId="57" totalsRowBorderDxfId="56">
  <autoFilter ref="B3:G14" xr:uid="{E81DD96E-7100-4CD1-9FCC-4539084BC6B8}"/>
  <tableColumns count="6">
    <tableColumn id="1" xr3:uid="{11F74BC1-EDA3-4B09-9543-C91ACD28F6D6}" name="Rshunt (µOhm)" dataDxfId="55">
      <calculatedColumnFormula>B3+100</calculatedColumnFormula>
    </tableColumn>
    <tableColumn id="2" xr3:uid="{F22209D4-D5F7-4A24-A22E-BCB1F60E1A02}" name="Disspated power (W)" dataDxfId="54">
      <calculatedColumnFormula>B4*$J$5*$J$5/1000/1000*$J$3/100</calculatedColumnFormula>
    </tableColumn>
    <tableColumn id="3" xr3:uid="{D529F738-8D82-4F6B-AFA8-BE5DBAB5E958}" name="Voltage drop spike amp (V)" dataDxfId="53">
      <calculatedColumnFormula>$J$6*B4/1000*$J$12/1000</calculatedColumnFormula>
    </tableColumn>
    <tableColumn id="4" xr3:uid="{DA16F6C7-9239-4007-9C54-6D51F73E46DA}" name="Voltage drop max amp (V)" dataDxfId="52">
      <calculatedColumnFormula>$J$5*B4/1000*$J$12/1000</calculatedColumnFormula>
    </tableColumn>
    <tableColumn id="6" xr3:uid="{B27B3633-2D8E-48A1-A695-660FCB0A39C1}" name="Voltage drop typ amp (V)2" dataDxfId="51">
      <calculatedColumnFormula>$J$4*B4/1000*$J$12/1000</calculatedColumnFormula>
    </tableColumn>
    <tableColumn id="5" xr3:uid="{F4370240-49C3-4C3D-A378-B3808740E62D}" name="mA/step" dataDxfId="50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A5C38-85C7-4CC9-A2E7-8CC77C0ABABE}" name="CAL_HB" displayName="CAL_HB" ref="A1:AM2" totalsRowShown="0" dataDxfId="49">
  <autoFilter ref="A1:AM2" xr:uid="{B25A5C38-85C7-4CC9-A2E7-8CC77C0ABABE}"/>
  <sortState xmlns:xlrd2="http://schemas.microsoft.com/office/spreadsheetml/2017/richdata2" ref="A2:AF2">
    <sortCondition ref="A1:A2"/>
  </sortState>
  <tableColumns count="39">
    <tableColumn id="1" xr3:uid="{8D98E4BE-CBC8-4993-8988-6AA9DD987F18}" name="Vdd (V)" dataDxfId="48">
      <calculatedColumnFormula>INPUTS!B22</calculatedColumnFormula>
    </tableColumn>
    <tableColumn id="23" xr3:uid="{97086D48-76D1-44FE-9798-1E4B672A9D3C}" name="Rboot,int (Ω)" dataDxfId="47">
      <calculatedColumnFormula>_xlfn.XLOOKUP(INPUTS!M3, DB_GD[Part], DB_GD[Rboot,int (Ω)])</calculatedColumnFormula>
    </tableColumn>
    <tableColumn id="25" xr3:uid="{CA25B27B-2081-46A3-A11C-C04EC8E9925A}" name="Rboot,ext (Ω)" dataDxfId="46">
      <calculatedColumnFormula>INPUTS!N22</calculatedColumnFormula>
    </tableColumn>
    <tableColumn id="2" xr3:uid="{9D660013-882C-48E1-9078-C0D5B2A80597}" name="Vfint,100mA (V)" dataDxfId="45">
      <calculatedColumnFormula>_xlfn.XLOOKUP(INPUTS!M3, DB_GD[Part], DB_GD[Vfint,100mA (V)])</calculatedColumnFormula>
    </tableColumn>
    <tableColumn id="28" xr3:uid="{36BE38BC-4343-43D2-A6AB-DF7CBCB8D288}" name="Vfext,100mA (V)" dataDxfId="44">
      <calculatedColumnFormula>CAL_HB[[#This Row],[Rboot,ext (Ω)]]*0.1</calculatedColumnFormula>
    </tableColumn>
    <tableColumn id="3" xr3:uid="{3510157E-7A02-4689-8664-3BE0329D115D}" name="Vhbr (V)" dataDxfId="43">
      <calculatedColumnFormula>_xlfn.XLOOKUP(INPUTS!M3, DB_GD[Part], DB_GD[Vhbr (V)])</calculatedColumnFormula>
    </tableColumn>
    <tableColumn id="4" xr3:uid="{ECB1DE36-B875-416D-8E2C-DEF25492B782}" name="Vhbh (V)" dataDxfId="42">
      <calculatedColumnFormula>_xlfn.XLOOKUP(INPUTS!M3, DB_GD[Part], DB_GD[Vhbh (V)])</calculatedColumnFormula>
    </tableColumn>
    <tableColumn id="5" xr3:uid="{FD7B4A02-8912-4F70-8F8F-E3160EF255C7}" name="ΔVbootmax (V)" dataDxfId="41">
      <calculatedColumnFormula>A2-CAL_HB[[#This Row],[Vhbr (V)]]-G2-CAL_HB[[#This Row],[Vfext,100mA (V)]]</calculatedColumnFormula>
    </tableColumn>
    <tableColumn id="6" xr3:uid="{67DE6560-3A18-4706-8C36-B17ACB24E0A0}" name="Qg (nC)" dataDxfId="40">
      <calculatedColumnFormula>INPUTS!E6</calculatedColumnFormula>
    </tableColumn>
    <tableColumn id="7" xr3:uid="{1F6CBA99-F458-419E-95F9-04D2A3D6DC26}" name="Ihb (mA)" dataDxfId="39">
      <calculatedColumnFormula>_xlfn.XLOOKUP(INPUTS!M3, DB_GD[Part], DB_GD[Ihb (mA)])</calculatedColumnFormula>
    </tableColumn>
    <tableColumn id="8" xr3:uid="{BABC204A-8EFE-4167-9EF4-887D78DD0CDA}" name="Ihbs (mA)" dataDxfId="38">
      <calculatedColumnFormula>_xlfn.XLOOKUP(INPUTS!M3, DB_GD[Part], DB_GD[Ihbs (mA)])</calculatedColumnFormula>
    </tableColumn>
    <tableColumn id="9" xr3:uid="{BA788F06-CA53-4E0A-AE4D-896E43A6EDE5}" name="Ipulldown (mA)" dataDxfId="37">
      <calculatedColumnFormula>INPUTS!N25</calculatedColumnFormula>
    </tableColumn>
    <tableColumn id="10" xr3:uid="{DB260FB3-06E8-4730-847C-5E6BD063D326}" name="Max duty (%)" dataDxfId="36">
      <calculatedColumnFormula>INPUTS!B5</calculatedColumnFormula>
    </tableColumn>
    <tableColumn id="11" xr3:uid="{1CBF1355-D31F-456C-80BE-6CC8C444F650}" name="Fsw min (kHz)" dataDxfId="35">
      <calculatedColumnFormula>_xlfn.XLOOKUP(INPUTS!A3, DB_limits[Name],DB_limits[Fmin (kHz)])</calculatedColumnFormula>
    </tableColumn>
    <tableColumn id="39" xr3:uid="{BE60760C-B4C3-4724-A105-5DF37CE7A319}" name="Consomation (nC/period)" dataDxfId="5">
      <calculatedColumnFormula>CAL_HB[[#This Row],[Qt,on (nC)]]-CAL_HB[[#This Row],[Qg (nC)]]</calculatedColumnFormula>
    </tableColumn>
    <tableColumn id="12" xr3:uid="{1E038DBA-495F-43B9-B606-822FB74520D5}" name="Qt,on (nC)" dataDxfId="34">
      <calculatedColumnFormula>(   I2*10^-9 + J2/N2*10^-6 + (K2+L2)/N2*10^-6*M2/100   )/10^-9</calculatedColumnFormula>
    </tableColumn>
    <tableColumn id="35" xr3:uid="{8AC582AB-F2DC-4941-822A-45B9871B889A}" name="Qt,off (nC)" dataDxfId="33">
      <calculatedColumnFormula>(   I2*10^-9 - J2/N2*10^-6 - (K2+L2)/N2*10^-6*(1-M2/100)   )/10^-9</calculatedColumnFormula>
    </tableColumn>
    <tableColumn id="38" xr3:uid="{706960C6-D4AA-40BF-A7C4-F0C4473DA5E5}" name="Column1" dataDxfId="6"/>
    <tableColumn id="13" xr3:uid="{C79274CC-E2A1-41D2-A761-D54CC7A29829}" name="Cbootmin (nF)" dataDxfId="32">
      <calculatedColumnFormula>P2/H2</calculatedColumnFormula>
    </tableColumn>
    <tableColumn id="14" xr3:uid="{FA3E1CDB-C23D-4FB1-B19E-9DA04D3955EB}" name="C secu (NU)" dataDxfId="31">
      <calculatedColumnFormula>INPUTS!N10</calculatedColumnFormula>
    </tableColumn>
    <tableColumn id="15" xr3:uid="{F2329A40-7530-43DD-9A8D-D9481FE6DDA8}" name="Cbootmin,safe (nF)" dataDxfId="30">
      <calculatedColumnFormula>INPUTS!N15</calculatedColumnFormula>
    </tableColumn>
    <tableColumn id="16" xr3:uid="{E7529637-516C-4BAC-9F9C-F3BCAD77EB6C}" name="ΔVboot (V)" dataDxfId="29">
      <calculatedColumnFormula>U2/P2</calculatedColumnFormula>
    </tableColumn>
    <tableColumn id="17" xr3:uid="{A1106862-E575-4A15-BDC9-291F1DC16EA8}" name="Fmax (kHz)" dataDxfId="28">
      <calculatedColumnFormula>INPUTS!B6</calculatedColumnFormula>
    </tableColumn>
    <tableColumn id="18" xr3:uid="{ED56DF9B-39E7-4337-92AA-A19107C957F6}" name="Toff (µs)" dataDxfId="27">
      <calculatedColumnFormula>1/W2/1000*(1-M2/100)*1000000</calculatedColumnFormula>
    </tableColumn>
    <tableColumn id="19" xr3:uid="{5EF5F032-1924-4722-B113-497A8A53F9F9}" name="Toff,charge (µs)" dataDxfId="26">
      <calculatedColumnFormula>CAL_HB[[#This Row],[Toff (µs)]]-INPUTS!B18/1000</calculatedColumnFormula>
    </tableColumn>
    <tableColumn id="20" xr3:uid="{317078D3-172D-4084-B914-D44E27AF4622}" name="Tcharge (µs)" dataDxfId="25">
      <calculatedColumnFormula>CAL_HB[[#This Row],[Toff,charge (µs)]]</calculatedColumnFormula>
    </tableColumn>
    <tableColumn id="21" xr3:uid="{C74CCBDA-ECD0-48F4-BDD1-B7B52CDCD12C}" name="Vboot0 (V)" dataDxfId="24">
      <calculatedColumnFormula>A2-V2-CAL_HB[[#This Row],[Vfext,100mA (V)]]</calculatedColumnFormula>
    </tableColumn>
    <tableColumn id="22" xr3:uid="{24CB70CF-920B-4509-9638-5D3F89476E1B}" name="Vbootinf (V)" dataDxfId="23">
      <calculatedColumnFormula>A2-CAL_HB[[#This Row],[Vfext,100mA (V)]]</calculatedColumnFormula>
    </tableColumn>
    <tableColumn id="26" xr3:uid="{D571851B-D502-4394-822B-26D2605F0715}" name="Rf (Ω)" dataDxfId="22">
      <calculatedColumnFormula>IF(CAL_HB[[#This Row],[Rboot,ext (Ω)]]&gt;0, 1/(1/CAL_HB[[#This Row],[Rboot,int (Ω)]]+1/CAL_HB[[#This Row],[Rboot,ext (Ω)]]), CAL_HB[[#This Row],[Rboot,int (Ω)]])</calculatedColumnFormula>
    </tableColumn>
    <tableColumn id="24" xr3:uid="{C72492AB-BD7B-405B-867F-5ADF45417C24}" name="Vbootfinal (V)" dataDxfId="21">
      <calculatedColumnFormula>(AA2-AB2)*EXP(-Z2*10^-6/CAL_HB[[#This Row],[Rf (Ω)]]/(U2*10^-9))+AB2</calculatedColumnFormula>
    </tableColumn>
    <tableColumn id="30" xr3:uid="{4A2A1E44-66D8-4309-9DC7-637AF6F8770A}" name="Imaxext (A)" dataDxfId="20">
      <calculatedColumnFormula>IF(CAL_HB[[#This Row],[Rboot,ext (Ω)]]&gt;0,CAL_HB[[#This Row],[Vdd (V)]]/CAL_HB[[#This Row],[Rboot,ext (Ω)]],0)</calculatedColumnFormula>
    </tableColumn>
    <tableColumn id="31" xr3:uid="{B3DB0F25-7B1B-46E1-B7A4-6C280BA75465}" name="Tau Cboot (µs)" dataDxfId="19">
      <calculatedColumnFormula>IF(CAL_HB[[#This Row],[Imaxext (A)]]&gt;0,CAL_HB[[#This Row],[Rf (Ω)]]*CAL_HB[[#This Row],[Cbootmin,safe (nF)]]*10^-3,0)</calculatedColumnFormula>
    </tableColumn>
    <tableColumn id="27" xr3:uid="{35D08FA4-5098-49A1-96BF-78D1CE0C53DF}" name="Max Fsw (kHz)" dataDxfId="18">
      <calculatedColumnFormula>INPUTS!B6</calculatedColumnFormula>
    </tableColumn>
    <tableColumn id="29" xr3:uid="{3AF36601-E787-45F8-A32B-D5DA2AC7BD86}" name="Qfreq_max (nC)" dataDxfId="17">
      <calculatedColumnFormula>(I2*10^-9+J2/CAL_HB[[#This Row],[Max Fsw (kHz)]]*10^-6+(K2+L2)/CAL_HB[[#This Row],[Max Fsw (kHz)]]*10^-6*M2/100)/10^-9</calculatedColumnFormula>
    </tableColumn>
    <tableColumn id="32" xr3:uid="{35C9A496-3EC8-43C9-89D9-26990B92E82D}" name="Safety (NU)" dataDxfId="16"/>
    <tableColumn id="33" xr3:uid="{44D3BF9C-C6B6-41CA-BB2A-43E2DA8DB723}" name="Imaxmeqn (mA)" dataDxfId="15">
      <calculatedColumnFormula>CAL_HB[[#This Row],[Qfreq_max (nC)]]*CAL_HB[[#This Row],[Max Fsw (kHz)]]*0.001</calculatedColumnFormula>
    </tableColumn>
    <tableColumn id="36" xr3:uid="{4A87F850-550F-4B9F-9C8B-7714375CA89B}" name="Dissipated in Rg hs pu (W)" dataDxfId="14">
      <calculatedColumnFormula>INPUTS!N34*INPUTS!N21/(INPUTS!N21+INPUTS!N5)</calculatedColumnFormula>
    </tableColumn>
    <tableColumn id="37" xr3:uid="{6EB2A3EE-5FFD-49F0-A8BB-7F58373BC0C5}" name="Tau Qg,on (µs)" dataDxfId="13">
      <calculatedColumnFormula>INPUTS!N15*((INPUTS!N5+INPUTS!N6)/2+INPUTS!N21)/1000*INPUTS!N28</calculatedColumnFormula>
    </tableColumn>
    <tableColumn id="34" xr3:uid="{E8EC5DFA-18F4-473D-9D9E-E906C667A938}" name="Tau Qg,off (ns)" dataDxfId="4">
      <calculatedColumnFormula>CAL_HB[[#This Row],[Cbootmin,safe (nF)]]*(1/(1/INPUTS!N21+1/INPUTS!N20) + (INPUTS!N8+INPUTS!N7)/2)/1000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Q9" totalsRowShown="0">
  <autoFilter ref="A1:Q9" xr:uid="{433B545B-C473-4B40-ADA6-D1F6CDF06A9D}"/>
  <tableColumns count="17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9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8"/>
    <tableColumn id="14" xr3:uid="{6F591E39-1B6D-4062-9BE0-8B0277C5FCF7}" name="Id @ Ta&gt;70°C (A)" dataDxfId="7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E2" totalsRowShown="0">
  <autoFilter ref="A1:E2" xr:uid="{4D445913-5DB2-487E-9CF8-D462B6CF82FE}"/>
  <tableColumns count="5">
    <tableColumn id="1" xr3:uid="{0177AD76-5BE5-4F85-96A2-400D3F5E4565}" name="Name"/>
    <tableColumn id="4" xr3:uid="{2B471E9B-6758-4DEE-9999-F8CDA58ED934}" name="Vinadc = Vdd (V)"/>
    <tableColumn id="5" xr3:uid="{4A4F57B9-E128-4533-9E88-3DEB5AC39471}" name="Cadc,max (pF)"/>
    <tableColumn id="6" xr3:uid="{024B3B03-8354-4E20-8FDB-FEE3DD0DAC7D}" name="Fsamp,max (MHz)"/>
    <tableColumn id="7" xr3:uid="{71EAE56C-7786-4272-AB14-E79BB1020D87}" name="Vin,max@vin (V)" dataDxfId="12">
      <calculatedColumnFormula>DB_ADC[[#This Row],[Vinadc = Vdd (V)]]+0.3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W7" totalsRowShown="0">
  <autoFilter ref="A1:W7" xr:uid="{1879270D-7167-4A91-9272-B7E98D98AAFF}"/>
  <tableColumns count="23">
    <tableColumn id="1" xr3:uid="{B4422181-E614-40D0-A64D-7B1763D76B50}" name="Name"/>
    <tableColumn id="2" xr3:uid="{2E74BA3B-503E-4F84-9D2A-DC73F1C08DCE}" name="Frame size (&quot;)"/>
    <tableColumn id="3" xr3:uid="{A82EBA80-E175-4B71-9E44-29675FB8BB1D}" name="D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 max (V)">
      <calculatedColumnFormula>H2*F2</calculatedColumnFormula>
    </tableColumn>
    <tableColumn id="12" xr3:uid="{633A4DEC-22E5-4807-951C-7FF8125F82E8}" name="Vbat 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1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0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91E7B9-F451-48A4-A538-B27C567949C0}" name="DB_trace" displayName="DB_trace" ref="A1:B2" totalsRowShown="0">
  <autoFilter ref="A1:B2" xr:uid="{C391E7B9-F451-48A4-A538-B27C567949C0}"/>
  <tableColumns count="2">
    <tableColumn id="1" xr3:uid="{CCEE411C-F36D-444D-9F42-8F648C41BEC0}" name="Ctrace (pF/mm)"/>
    <tableColumn id="2" xr3:uid="{C1C248A9-2C1D-4699-9BE3-2218F2C8A21A}" name="Rtrace (mΩ/mm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&#916;V@Imax%20(V)" TargetMode="External"/><Relationship Id="rId1" Type="http://schemas.openxmlformats.org/officeDocument/2006/relationships/hyperlink" Target="mailto:&#916;V@Imax%20(V)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>
    <tabColor rgb="FFFFFF00"/>
  </sheetPr>
  <dimension ref="A1:P38"/>
  <sheetViews>
    <sheetView tabSelected="1" topLeftCell="A4" zoomScaleNormal="100" workbookViewId="0">
      <selection activeCell="P33" sqref="P33"/>
    </sheetView>
  </sheetViews>
  <sheetFormatPr defaultColWidth="10.90625" defaultRowHeight="14.5" x14ac:dyDescent="0.35"/>
  <cols>
    <col min="1" max="1" width="25.453125" customWidth="1"/>
    <col min="2" max="2" width="5.81640625" customWidth="1"/>
    <col min="3" max="3" width="3.08984375" customWidth="1"/>
    <col min="4" max="4" width="31" bestFit="1" customWidth="1"/>
    <col min="5" max="5" width="13.26953125" bestFit="1" customWidth="1"/>
    <col min="6" max="6" width="3.08984375" customWidth="1"/>
    <col min="7" max="7" width="27" bestFit="1" customWidth="1"/>
    <col min="8" max="8" width="6.453125" customWidth="1"/>
    <col min="9" max="9" width="3" customWidth="1"/>
    <col min="10" max="10" width="27" bestFit="1" customWidth="1"/>
    <col min="11" max="11" width="5.1796875" customWidth="1"/>
    <col min="12" max="12" width="2.90625" customWidth="1"/>
    <col min="13" max="13" width="27.36328125" bestFit="1" customWidth="1"/>
    <col min="14" max="14" width="6.26953125" customWidth="1"/>
    <col min="15" max="15" width="11.26953125" customWidth="1"/>
  </cols>
  <sheetData>
    <row r="1" spans="1:14" x14ac:dyDescent="0.35">
      <c r="A1" s="90" t="s">
        <v>134</v>
      </c>
      <c r="B1" s="90"/>
      <c r="D1" s="90" t="s">
        <v>119</v>
      </c>
      <c r="E1" s="90"/>
      <c r="G1" s="88" t="s">
        <v>171</v>
      </c>
      <c r="H1" s="89"/>
      <c r="J1" s="88" t="s">
        <v>174</v>
      </c>
      <c r="K1" s="89"/>
      <c r="M1" s="90" t="s">
        <v>186</v>
      </c>
      <c r="N1" s="90"/>
    </row>
    <row r="2" spans="1:14" x14ac:dyDescent="0.35">
      <c r="A2" s="87" t="s">
        <v>135</v>
      </c>
      <c r="B2" s="87"/>
      <c r="C2" s="31"/>
      <c r="D2" s="87" t="s">
        <v>130</v>
      </c>
      <c r="E2" s="87"/>
      <c r="G2" s="85" t="s">
        <v>130</v>
      </c>
      <c r="H2" s="86"/>
      <c r="J2" s="85" t="s">
        <v>130</v>
      </c>
      <c r="K2" s="86"/>
      <c r="M2" s="87" t="s">
        <v>130</v>
      </c>
      <c r="N2" s="87"/>
    </row>
    <row r="3" spans="1:14" x14ac:dyDescent="0.35">
      <c r="A3" s="91" t="s">
        <v>136</v>
      </c>
      <c r="B3" s="91"/>
      <c r="D3" s="91" t="s">
        <v>275</v>
      </c>
      <c r="E3" s="91"/>
      <c r="G3" s="92" t="s">
        <v>151</v>
      </c>
      <c r="H3" s="93"/>
      <c r="J3" s="92" t="s">
        <v>151</v>
      </c>
      <c r="K3" s="93"/>
      <c r="M3" s="91" t="s">
        <v>187</v>
      </c>
      <c r="N3" s="91"/>
    </row>
    <row r="4" spans="1:14" x14ac:dyDescent="0.35">
      <c r="A4" s="38" t="str">
        <f>DB_limits[[#Headers],[Frame size (")]]</f>
        <v>Frame size (")</v>
      </c>
      <c r="B4" s="2">
        <f>_xlfn.XLOOKUP($A$3, DB_limits[Name], DB_limits[Frame size (")])</f>
        <v>6</v>
      </c>
      <c r="D4" s="38" t="str">
        <f>DB_Mostfet[[#Headers],[Manifacturer]]</f>
        <v>Manifacturer</v>
      </c>
      <c r="E4" s="2" t="str">
        <f>_xlfn.XLOOKUP(D3, DB_Mostfet[Part], DB_Mostfet[Manifacturer])</f>
        <v>TI</v>
      </c>
      <c r="G4" s="45" t="str">
        <f>DB_ADC[[#Headers],[Vinadc = Vdd (V)]]</f>
        <v>Vinadc = Vdd (V)</v>
      </c>
      <c r="H4" s="2">
        <f>_xlfn.XLOOKUP($G$3, DB_ADC[Name], DB_ADC[Vinadc = Vdd (V)])</f>
        <v>3.3</v>
      </c>
      <c r="J4" s="45" t="str">
        <f>DB_ADC[[#Headers],[Vinadc = Vdd (V)]]</f>
        <v>Vinadc = Vdd (V)</v>
      </c>
      <c r="K4" s="2">
        <f>_xlfn.XLOOKUP($G$3, DB_ADC[Name], DB_ADC[Vinadc = Vdd (V)])</f>
        <v>3.3</v>
      </c>
      <c r="M4" s="38" t="str">
        <f>DB_GD[[#Headers],[Vout (V)]]</f>
        <v>Vout (V)</v>
      </c>
      <c r="N4" s="2">
        <f>_xlfn.XLOOKUP(M3,DB_GD[Part], DB_GD[Vout (V)])</f>
        <v>10</v>
      </c>
    </row>
    <row r="5" spans="1:14" x14ac:dyDescent="0.35">
      <c r="A5" s="38" t="str">
        <f>DB_limits[[#Headers],[D (%)]]</f>
        <v>D (%)</v>
      </c>
      <c r="B5" s="2">
        <f>_xlfn.XLOOKUP($A$3, DB_limits[Name], DB_limits[D (%)])</f>
        <v>90</v>
      </c>
      <c r="D5" s="38" t="str">
        <f>DB_Mostfet[[#Headers],[Vds (V)]]</f>
        <v>Vds (V)</v>
      </c>
      <c r="E5" s="2">
        <f>_xlfn.XLOOKUP(D3, DB_Mostfet[Part], DB_Mostfet[Vds (V)])</f>
        <v>60</v>
      </c>
      <c r="G5" s="45" t="str">
        <f>DB_ADC[[#Headers],[Vin,max@vin (V)]]</f>
        <v>Vin,max@vin (V)</v>
      </c>
      <c r="H5" s="2">
        <f>_xlfn.XLOOKUP($G$3, DB_ADC[Name], DB_ADC[Vin,max@vin (V)])</f>
        <v>3.5999999999999996</v>
      </c>
      <c r="J5" s="45" t="str">
        <f>DB_ADC[[#Headers],[Vin,max@vin (V)]]</f>
        <v>Vin,max@vin (V)</v>
      </c>
      <c r="K5" s="2">
        <f>_xlfn.XLOOKUP($G$3, DB_ADC[Name], DB_ADC[Vin,max@vin (V)])</f>
        <v>3.5999999999999996</v>
      </c>
      <c r="M5" s="38" t="str">
        <f>DB_GD[[#Headers],[Rpu,hs (Ω)]]</f>
        <v>Rpu,hs (Ω)</v>
      </c>
      <c r="N5" s="2">
        <f>_xlfn.XLOOKUP(M3,DB_GD[Part], DB_GD[Rpu,hs (Ω)])</f>
        <v>1</v>
      </c>
    </row>
    <row r="6" spans="1:14" x14ac:dyDescent="0.35">
      <c r="A6" s="38" t="str">
        <f>DB_limits[[#Headers],[Fmax (kHz)]]</f>
        <v>Fmax (kHz)</v>
      </c>
      <c r="B6" s="2">
        <f>_xlfn.XLOOKUP($A$3, DB_limits[Name], DB_limits[Fmax (kHz)])</f>
        <v>64</v>
      </c>
      <c r="D6" s="38" t="str">
        <f>DB_Mostfet[[#Headers],[Qg,typ @ 10V (nC)]]</f>
        <v>Qg,typ @ 10V (nC)</v>
      </c>
      <c r="E6" s="75">
        <f>_xlfn.XLOOKUP(D3, DB_Mostfet[Part], DB_Mostfet[Qg,typ @ 10V (nC)])</f>
        <v>41</v>
      </c>
      <c r="G6" s="38" t="str">
        <f>DB_ADC[[#Headers],[Cadc,max (pF)]]</f>
        <v>Cadc,max (pF)</v>
      </c>
      <c r="H6" s="2">
        <f>_xlfn.XLOOKUP($G$3, DB_ADC[Name], DB_ADC[Cadc,max (pF)])</f>
        <v>15</v>
      </c>
      <c r="J6" s="38" t="str">
        <f>DB_ADC[[#Headers],[Cadc,max (pF)]]</f>
        <v>Cadc,max (pF)</v>
      </c>
      <c r="K6" s="2">
        <f>_xlfn.XLOOKUP($G$3, DB_ADC[Name], DB_ADC[Cadc,max (pF)])</f>
        <v>15</v>
      </c>
      <c r="M6" s="38" t="str">
        <f>DB_GD[[#Headers],[Rpu,ls (Ω)]]</f>
        <v>Rpu,ls (Ω)</v>
      </c>
      <c r="N6" s="2">
        <f>_xlfn.XLOOKUP(M3,DB_GD[Part], DB_GD[Rpu,ls (Ω)])</f>
        <v>1</v>
      </c>
    </row>
    <row r="7" spans="1:14" x14ac:dyDescent="0.35">
      <c r="A7" s="38" t="str">
        <f>DB_limits[[#Headers],[Vbat min (V)]]</f>
        <v>Vbat min (V)</v>
      </c>
      <c r="B7" s="2">
        <f>_xlfn.XLOOKUP($A$3, DB_limits[Name], DB_limits[Vbat min (V)])</f>
        <v>14</v>
      </c>
      <c r="D7" s="38" t="str">
        <f>DB_Mostfet[[#Headers],[Qg,typ,sync @ 10V (nC)]] &amp;  " (not used)"</f>
        <v>Qg,typ,sync @ 10V (nC) (not used)</v>
      </c>
      <c r="E7" s="2" t="str">
        <f>_xlfn.XLOOKUP(D3, DB_Mostfet[Part], DB_Mostfet[Qg,typ,sync @ 10V (nC)])</f>
        <v>X</v>
      </c>
      <c r="G7" s="38" t="str">
        <f>DB_ADC[[#Headers],[Fsamp,max (MHz)]]</f>
        <v>Fsamp,max (MHz)</v>
      </c>
      <c r="H7" s="2">
        <f>_xlfn.XLOOKUP($G$3, DB_ADC[Name], DB_ADC[Fsamp,max (MHz)])</f>
        <v>60</v>
      </c>
      <c r="J7" s="38" t="str">
        <f>DB_ADC[[#Headers],[Fsamp,max (MHz)]]</f>
        <v>Fsamp,max (MHz)</v>
      </c>
      <c r="K7" s="2">
        <f>_xlfn.XLOOKUP($G$3, DB_ADC[Name], DB_ADC[Fsamp,max (MHz)])</f>
        <v>60</v>
      </c>
      <c r="M7" s="38" t="str">
        <f>DB_GD[[#Headers],[Rpd,hs (Ω)]]</f>
        <v>Rpd,hs (Ω)</v>
      </c>
      <c r="N7" s="2">
        <f>_xlfn.XLOOKUP(M3,DB_GD[Part], DB_GD[Rpd,hs (Ω)])</f>
        <v>0.5</v>
      </c>
    </row>
    <row r="8" spans="1:14" x14ac:dyDescent="0.35">
      <c r="A8" s="38" t="str">
        <f>DB_limits[[#Headers],[Vbat max (V)]]</f>
        <v>Vbat max (V)</v>
      </c>
      <c r="B8" s="2">
        <f>_xlfn.XLOOKUP($A$3, DB_limits[Name], DB_limits[Vbat max (V)])</f>
        <v>25.200000000000003</v>
      </c>
      <c r="D8" s="38" t="str">
        <f>DB_Mostfet[[#Headers],[Rds,on@10V typ(mΩ)]] &amp;  " (not used)"</f>
        <v>Rds,on@10V typ(mΩ) (not used)</v>
      </c>
      <c r="E8" s="2">
        <f>_xlfn.XLOOKUP(D3, DB_Mostfet[Part], DB_Mostfet[Rds,on@10V typ(mΩ)])</f>
        <v>1.8</v>
      </c>
      <c r="G8" s="85" t="s">
        <v>150</v>
      </c>
      <c r="H8" s="86"/>
      <c r="J8" s="87" t="s">
        <v>150</v>
      </c>
      <c r="K8" s="87"/>
      <c r="M8" s="38" t="str">
        <f>DB_GD[[#Headers],[Rpd,ls (Ω)]]</f>
        <v>Rpd,ls (Ω)</v>
      </c>
      <c r="N8" s="2">
        <f>_xlfn.XLOOKUP(M3,DB_GD[Part], DB_GD[Rpd,ls (Ω)])</f>
        <v>0.35</v>
      </c>
    </row>
    <row r="9" spans="1:14" x14ac:dyDescent="0.35">
      <c r="A9" s="38" t="str">
        <f>DB_limits[[#Headers],[Vbat spike (V) @ run]]</f>
        <v>Vbat spike (V) @ run</v>
      </c>
      <c r="B9" s="2">
        <f>_xlfn.XLOOKUP($A$3, DB_limits[Name], DB_limits[Vbat spike (V) @ run])</f>
        <v>35</v>
      </c>
      <c r="D9" s="38" t="str">
        <f>DB_Mostfet[[#Headers],[Rds,on@10V max (mΩ)]]</f>
        <v>Rds,on@10V max (mΩ)</v>
      </c>
      <c r="E9" s="75">
        <f>_xlfn.XLOOKUP(D3, DB_Mostfet[Part], DB_Mostfet[Rds,on@10V max (mΩ)])</f>
        <v>2.2000000000000002</v>
      </c>
      <c r="G9" s="42" t="s">
        <v>154</v>
      </c>
      <c r="H9" s="2">
        <v>2.5</v>
      </c>
      <c r="J9" s="42" t="s">
        <v>154</v>
      </c>
      <c r="K9" s="2">
        <v>2.5</v>
      </c>
      <c r="M9" s="39" t="s">
        <v>150</v>
      </c>
      <c r="N9" s="39"/>
    </row>
    <row r="10" spans="1:14" x14ac:dyDescent="0.35">
      <c r="A10" s="38" t="str">
        <f>DB_limits[[#Headers],[Vbat spike (V) @ disarm]]</f>
        <v>Vbat spike (V) @ disarm</v>
      </c>
      <c r="B10" s="2">
        <f>_xlfn.XLOOKUP($A$3, DB_limits[Name], DB_limits[Vbat spike (V) @ disarm])</f>
        <v>50</v>
      </c>
      <c r="D10" s="38" t="str">
        <f>DB_Mostfet[[#Headers],[Rise time (ns)]]</f>
        <v>Rise time (ns)</v>
      </c>
      <c r="E10" s="2">
        <f>_xlfn.XLOOKUP(D3, DB_Mostfet[Part], DB_Mostfet[Rise time (ns)])</f>
        <v>9</v>
      </c>
      <c r="G10" s="42" t="s">
        <v>146</v>
      </c>
      <c r="H10" s="2">
        <v>12</v>
      </c>
      <c r="J10" s="42" t="s">
        <v>146</v>
      </c>
      <c r="K10" s="2">
        <v>12</v>
      </c>
      <c r="M10" s="42" t="s">
        <v>194</v>
      </c>
      <c r="N10" s="2">
        <v>1.25</v>
      </c>
    </row>
    <row r="11" spans="1:14" x14ac:dyDescent="0.35">
      <c r="A11" s="38" t="str">
        <f>DB_limits[[#Headers],[Vph spike (V) @ run]]</f>
        <v>Vph spike (V) @ run</v>
      </c>
      <c r="B11" s="2">
        <f>_xlfn.XLOOKUP($A$3, DB_limits[Name], DB_limits[Vph spike (V) @ run])</f>
        <v>40</v>
      </c>
      <c r="D11" s="38" t="str">
        <f>DB_Mostfet[[#Headers],[Fall time (ns)]]</f>
        <v>Fall time (ns)</v>
      </c>
      <c r="E11" s="2">
        <f>_xlfn.XLOOKUP(D3, DB_Mostfet[Part], DB_Mostfet[Fall time (ns)])</f>
        <v>3</v>
      </c>
      <c r="G11" s="85" t="s">
        <v>149</v>
      </c>
      <c r="H11" s="86"/>
      <c r="J11" s="58" t="s">
        <v>175</v>
      </c>
      <c r="K11" s="59">
        <v>64</v>
      </c>
      <c r="M11" s="42" t="s">
        <v>195</v>
      </c>
      <c r="N11" s="69">
        <v>0.4</v>
      </c>
    </row>
    <row r="12" spans="1:14" x14ac:dyDescent="0.35">
      <c r="A12" s="38" t="str">
        <f>DB_limits[[#Headers],[Vph spike (V) @ disarm]]</f>
        <v>Vph spike (V) @ disarm</v>
      </c>
      <c r="B12" s="2">
        <f>_xlfn.XLOOKUP($A$3, DB_limits[Name], DB_limits[Vph spike (V) @ disarm])</f>
        <v>30</v>
      </c>
      <c r="D12" s="38" t="str">
        <f>DB_Mostfet[[#Headers],[Id @ Tc&gt;70°C (A)]]</f>
        <v>Id @ Tc&gt;70°C (A)</v>
      </c>
      <c r="E12" s="2">
        <f>_xlfn.XLOOKUP(D3, DB_Mostfet[Part], DB_Mostfet[Id @ Tc&gt;70°C (A)])</f>
        <v>100</v>
      </c>
      <c r="G12" s="32" t="s">
        <v>169</v>
      </c>
      <c r="H12" s="7">
        <f>H9/H7*1000</f>
        <v>41.666666666666664</v>
      </c>
      <c r="J12" s="85" t="s">
        <v>149</v>
      </c>
      <c r="K12" s="86"/>
      <c r="M12" s="87" t="s">
        <v>149</v>
      </c>
      <c r="N12" s="87"/>
    </row>
    <row r="13" spans="1:14" x14ac:dyDescent="0.35">
      <c r="A13" s="38" t="str">
        <f>DB_limits[[#Headers],[Iph typ (A)]] &amp; " @ " &amp; _xlfn.XLOOKUP($A$3, DB_limits[Name], DB_limits[ToF Iph typ (%)]) &amp; "% ToF"</f>
        <v>Iph typ (A) @ 95% ToF</v>
      </c>
      <c r="B13" s="2">
        <f>_xlfn.XLOOKUP($A$3, DB_limits[Name], DB_limits[Iph typ (A)])</f>
        <v>12.5</v>
      </c>
      <c r="D13" s="38" t="str">
        <f>DB_Mostfet[[#Headers],[Id @ Ta&gt;70°C (A)]]</f>
        <v>Id @ Ta&gt;70°C (A)</v>
      </c>
      <c r="E13" s="75" t="str">
        <f>_xlfn.XLOOKUP(D3, DB_Mostfet[Part], DB_Mostfet[Id @ Ta&gt;70°C (A)])</f>
        <v>(est ~21A)</v>
      </c>
      <c r="J13" s="32" t="s">
        <v>169</v>
      </c>
      <c r="K13" s="7">
        <f>K9/K7*1000</f>
        <v>41.666666666666664</v>
      </c>
      <c r="M13" s="32" t="str">
        <f>CAL_HB[[#Headers],[Toff,charge (µs)]]</f>
        <v>Toff,charge (µs)</v>
      </c>
      <c r="N13" s="9" cm="1">
        <f t="array" ref="N13">CAL_HB[Toff,charge (µs)]</f>
        <v>1.0824999999999996</v>
      </c>
    </row>
    <row r="14" spans="1:14" x14ac:dyDescent="0.35">
      <c r="A14" s="38" t="str">
        <f>DB_limits[[#Headers],[Iph max (A@Xs)]] &amp; " @ " &amp; _xlfn.XLOOKUP($A$3, DB_limits[Name], DB_limits[ToF Iph max (%)]) &amp; "% ToF"</f>
        <v>Iph max (A@Xs) @ 4.9% ToF</v>
      </c>
      <c r="B14" s="2">
        <f>_xlfn.XLOOKUP($A$3, DB_limits[Name], DB_limits[Iph max (A@Xs)])</f>
        <v>20</v>
      </c>
      <c r="D14" s="38" t="str">
        <f>DB_Mostfet[[#Headers],[Size (mm)]]</f>
        <v>Size (mm)</v>
      </c>
      <c r="E14" s="2" t="str">
        <f>_xlfn.XLOOKUP(D3, DB_Mostfet[Part], DB_Mostfet[Size (mm)])</f>
        <v>5x6</v>
      </c>
      <c r="G14" s="88" t="s">
        <v>172</v>
      </c>
      <c r="H14" s="89"/>
      <c r="M14" s="32" t="s">
        <v>193</v>
      </c>
      <c r="N14" s="9" cm="1">
        <f t="array" ref="N14">CAL_HB[Cbootmin (nF)]</f>
        <v>47.994306418219459</v>
      </c>
    </row>
    <row r="15" spans="1:14" x14ac:dyDescent="0.35">
      <c r="A15" s="38" t="str">
        <f>DB_limits[[#Headers],[Iph spike (A@Xms)]]  &amp; " @ " &amp; _xlfn.XLOOKUP($A$3, DB_limits[Name], DB_limits[ToF Iph spike (%)]) &amp; "% ToF"</f>
        <v>Iph spike (A@Xms) @ 0.1% ToF</v>
      </c>
      <c r="B15" s="2">
        <f>_xlfn.XLOOKUP($A$3, DB_limits[Name], DB_limits[Iph spike (A@Xms)])</f>
        <v>50</v>
      </c>
      <c r="D15" s="38" t="str">
        <f>DB_Mostfet[[#Headers],[JLCPBC stock]]</f>
        <v>JLCPBC stock</v>
      </c>
      <c r="E15" s="2" t="str">
        <f>_xlfn.XLOOKUP(D3, DB_Mostfet[Part], DB_Mostfet[JLCPBC stock])</f>
        <v>Yes</v>
      </c>
      <c r="G15" s="85" t="s">
        <v>150</v>
      </c>
      <c r="H15" s="86"/>
      <c r="J15" s="48" t="s">
        <v>176</v>
      </c>
      <c r="K15" s="49"/>
      <c r="M15" s="32" t="str">
        <f>CAL_HB[[#Headers],[Cbootmin,safe (nF)]]</f>
        <v>Cbootmin,safe (nF)</v>
      </c>
      <c r="N15" s="9">
        <f>N14*N10/(1-N11)</f>
        <v>99.988138371290546</v>
      </c>
    </row>
    <row r="16" spans="1:14" x14ac:dyDescent="0.35">
      <c r="A16" s="38" t="str">
        <f>DB_limits[[#Headers],[Iph mean (A)]]</f>
        <v>Iph mean (A)</v>
      </c>
      <c r="B16" s="7">
        <f>_xlfn.XLOOKUP($A$3, DB_limits[Name], DB_limits[Iph mean (A)])</f>
        <v>12.905000000000001</v>
      </c>
      <c r="D16" s="46" t="s">
        <v>149</v>
      </c>
      <c r="E16" s="47"/>
      <c r="G16" s="42" t="s">
        <v>148</v>
      </c>
      <c r="H16" s="2">
        <v>390</v>
      </c>
      <c r="J16" s="85" t="s">
        <v>149</v>
      </c>
      <c r="K16" s="86"/>
      <c r="M16" s="32" t="str">
        <f>CAL_HB[[#Headers],[Qt,on (nC)]]</f>
        <v>Qt,on (nC)</v>
      </c>
      <c r="N16" s="9" cm="1">
        <f t="array" ref="N16">CAL_HB[Qt,on (nC)]</f>
        <v>154.54166666666666</v>
      </c>
    </row>
    <row r="17" spans="1:15" x14ac:dyDescent="0.35">
      <c r="A17" s="46" t="s">
        <v>150</v>
      </c>
      <c r="B17" s="47"/>
      <c r="D17" s="32" t="s">
        <v>273</v>
      </c>
      <c r="E17" s="9">
        <f>(B9+B8)/2</f>
        <v>30.1</v>
      </c>
      <c r="G17" s="42" t="str">
        <f>CAL_Vsense[[#Headers],[Rtop (Ω)]]</f>
        <v>Rtop (Ω)</v>
      </c>
      <c r="H17" s="2">
        <v>5600</v>
      </c>
      <c r="J17" s="32" t="s">
        <v>177</v>
      </c>
      <c r="K17" s="9">
        <f>CAL_ISENSE!B9</f>
        <v>500</v>
      </c>
    </row>
    <row r="18" spans="1:15" x14ac:dyDescent="0.35">
      <c r="A18" s="42" t="s">
        <v>173</v>
      </c>
      <c r="B18" s="2">
        <v>480</v>
      </c>
      <c r="D18" s="32" t="s">
        <v>230</v>
      </c>
      <c r="E18" s="6">
        <f>B14^2*B5%*E9/1000</f>
        <v>0.79200000000000015</v>
      </c>
      <c r="G18" s="42" t="s">
        <v>157</v>
      </c>
      <c r="H18" s="2">
        <v>47</v>
      </c>
      <c r="J18" s="32" t="s">
        <v>214</v>
      </c>
      <c r="K18" s="6">
        <f>CAL_ISENSE!F9</f>
        <v>0.4</v>
      </c>
      <c r="M18" s="88" t="s">
        <v>185</v>
      </c>
      <c r="N18" s="89"/>
    </row>
    <row r="19" spans="1:15" x14ac:dyDescent="0.35">
      <c r="D19" s="32" t="s">
        <v>235</v>
      </c>
      <c r="E19" s="6">
        <f>E17*B14*(E11+E10)*B6*10^-6/2</f>
        <v>0.23116799999999998</v>
      </c>
      <c r="G19" s="42" t="s">
        <v>162</v>
      </c>
      <c r="H19" s="2">
        <v>100</v>
      </c>
      <c r="J19" s="32" t="s">
        <v>214</v>
      </c>
      <c r="K19" s="6">
        <f>CAL_ISENSE!E9</f>
        <v>0.64</v>
      </c>
      <c r="M19" s="85" t="s">
        <v>150</v>
      </c>
      <c r="N19" s="86"/>
    </row>
    <row r="20" spans="1:15" x14ac:dyDescent="0.35">
      <c r="A20" s="48" t="s">
        <v>182</v>
      </c>
      <c r="B20" s="49"/>
      <c r="D20" s="32" t="s">
        <v>231</v>
      </c>
      <c r="E20" s="6">
        <f>E19+E18</f>
        <v>1.0231680000000001</v>
      </c>
      <c r="G20" s="42" t="s">
        <v>164</v>
      </c>
      <c r="H20" s="2">
        <v>100</v>
      </c>
      <c r="J20" s="32" t="s">
        <v>213</v>
      </c>
      <c r="K20" s="6">
        <f>CAL_ISENSE!D9</f>
        <v>1.6</v>
      </c>
      <c r="M20" s="42" t="s">
        <v>179</v>
      </c>
      <c r="N20" s="2">
        <v>3</v>
      </c>
    </row>
    <row r="21" spans="1:15" x14ac:dyDescent="0.35">
      <c r="A21" s="46" t="s">
        <v>150</v>
      </c>
      <c r="B21" s="47"/>
      <c r="D21" s="32" t="s">
        <v>232</v>
      </c>
      <c r="E21" s="6">
        <f>B16^2*B5%*E9/1000</f>
        <v>0.32974726950000011</v>
      </c>
      <c r="G21" s="42" t="s">
        <v>165</v>
      </c>
      <c r="H21" s="2">
        <v>10</v>
      </c>
      <c r="J21" s="32" t="s">
        <v>178</v>
      </c>
      <c r="K21" s="9">
        <f>CAL_ISENSE!G9</f>
        <v>25.177001953124996</v>
      </c>
      <c r="M21" s="42" t="s">
        <v>202</v>
      </c>
      <c r="N21" s="2">
        <v>3</v>
      </c>
    </row>
    <row r="22" spans="1:15" x14ac:dyDescent="0.35">
      <c r="A22" s="42" t="s">
        <v>183</v>
      </c>
      <c r="B22" s="2">
        <v>10</v>
      </c>
      <c r="D22" s="32" t="s">
        <v>233</v>
      </c>
      <c r="E22" s="6">
        <f>E17*B16*(E11+E10)*B6*10^-6/2</f>
        <v>0.14916115199999999</v>
      </c>
      <c r="G22" s="85" t="s">
        <v>149</v>
      </c>
      <c r="H22" s="86"/>
      <c r="J22" s="32" t="s">
        <v>212</v>
      </c>
      <c r="K22" s="6">
        <f>CAL_ISENSE!C9</f>
        <v>0.18</v>
      </c>
      <c r="M22" s="42" t="s">
        <v>192</v>
      </c>
      <c r="N22" s="2">
        <v>5.0999999999999996</v>
      </c>
    </row>
    <row r="23" spans="1:15" x14ac:dyDescent="0.35">
      <c r="A23" s="42" t="s">
        <v>184</v>
      </c>
      <c r="B23" s="2">
        <v>3.3</v>
      </c>
      <c r="D23" s="32" t="s">
        <v>234</v>
      </c>
      <c r="E23" s="6">
        <f>E22+E21</f>
        <v>0.47890842150000013</v>
      </c>
      <c r="G23" s="32" t="str">
        <f>CAL_Vsense[[#Headers],[Rth (Ω)]]</f>
        <v>Rth (Ω)</v>
      </c>
      <c r="H23" s="9" cm="1">
        <f t="array" ref="H23">CAL_Vsense[Rth (Ω)]</f>
        <v>411.6076794657763</v>
      </c>
      <c r="J23" s="31" t="s">
        <v>225</v>
      </c>
      <c r="M23" s="58" t="s">
        <v>190</v>
      </c>
      <c r="N23" s="59">
        <v>10</v>
      </c>
    </row>
    <row r="24" spans="1:15" x14ac:dyDescent="0.35">
      <c r="G24" s="32" t="str">
        <f>CAL_Vsense[[#Headers],[Iadc (mA)]]</f>
        <v>Iadc (mA)</v>
      </c>
      <c r="H24" s="9" cm="1">
        <f t="array" ref="H24">CAL_Vsense[Iadc (mA)]</f>
        <v>8.0173431270355664</v>
      </c>
      <c r="M24" s="85" t="s">
        <v>149</v>
      </c>
      <c r="N24" s="86"/>
      <c r="O24" s="71"/>
    </row>
    <row r="25" spans="1:15" x14ac:dyDescent="0.35">
      <c r="D25" s="77" t="s">
        <v>271</v>
      </c>
      <c r="E25" s="9">
        <v>6</v>
      </c>
      <c r="G25" s="32" t="s">
        <v>168</v>
      </c>
      <c r="H25" s="9">
        <f>H21*H20*H6/1000</f>
        <v>15</v>
      </c>
      <c r="M25" s="32" t="s">
        <v>191</v>
      </c>
      <c r="N25" s="9">
        <f>N4/N23</f>
        <v>1</v>
      </c>
    </row>
    <row r="26" spans="1:15" x14ac:dyDescent="0.35">
      <c r="D26" s="77" t="s">
        <v>272</v>
      </c>
      <c r="E26" s="9">
        <v>2</v>
      </c>
      <c r="G26" s="32" t="s">
        <v>170</v>
      </c>
      <c r="H26" s="9">
        <f>(Radc+H23)*H19*H21*10^-3</f>
        <v>458.6076794657763</v>
      </c>
      <c r="M26" s="32" t="str">
        <f>CAL_HB[[#Headers],[Rf (Ω)]]</f>
        <v>Rf (Ω)</v>
      </c>
      <c r="N26" s="7" cm="1">
        <f t="array" ref="N26">CAL_HB[Rf (Ω)]</f>
        <v>4.1221804511278188</v>
      </c>
    </row>
    <row r="27" spans="1:15" x14ac:dyDescent="0.35">
      <c r="D27" s="77" t="s">
        <v>241</v>
      </c>
      <c r="E27" s="78">
        <f>E21*E26+E22*E25+H28+K22+N38</f>
        <v>2.2159278521574848</v>
      </c>
      <c r="G27" s="32" t="s">
        <v>155</v>
      </c>
      <c r="H27" s="7">
        <f>B12/2^H10*1000</f>
        <v>7.32421875</v>
      </c>
      <c r="M27" s="57" t="str">
        <f>CAL_HB[[#Headers],[Vboot0 (V)]]</f>
        <v>Vboot0 (V)</v>
      </c>
      <c r="N27" s="6" cm="1">
        <f t="array" ref="N27">CAL_HB[Vboot0 (V)]</f>
        <v>8.8430020703933749</v>
      </c>
    </row>
    <row r="28" spans="1:15" x14ac:dyDescent="0.35">
      <c r="D28" s="77" t="s">
        <v>240</v>
      </c>
      <c r="E28" s="78">
        <f>E18*E26+E19*E25+H28+K22+N38</f>
        <v>3.6324744011574852</v>
      </c>
      <c r="G28" s="32" t="s">
        <v>212</v>
      </c>
      <c r="H28" s="6">
        <f>B8^2/(H17+H16)</f>
        <v>0.10601669449081806</v>
      </c>
      <c r="M28" s="32" t="str">
        <f>CAL_HB[[#Headers],[Vbootfinal (V)]]</f>
        <v>Vbootfinal (V)</v>
      </c>
      <c r="N28" s="6" cm="1">
        <f t="array" ref="N28">CAL_HB[Vbootfinal (V)]</f>
        <v>9.4431948062164146</v>
      </c>
    </row>
    <row r="29" spans="1:15" x14ac:dyDescent="0.35">
      <c r="M29" s="32" t="str">
        <f>CAL_HB[[#Headers],[Vbootinf (V)]]</f>
        <v>Vbootinf (V)</v>
      </c>
      <c r="N29" s="6" cm="1">
        <f t="array" ref="N29">CAL_HB[Vbootinf (V)]</f>
        <v>9.49</v>
      </c>
    </row>
    <row r="30" spans="1:15" x14ac:dyDescent="0.35">
      <c r="G30" t="s">
        <v>211</v>
      </c>
      <c r="J30" t="s">
        <v>211</v>
      </c>
      <c r="M30" s="32" t="str">
        <f>CAL_HB[[#Headers],[Tau Cboot (µs)]]</f>
        <v>Tau Cboot (µs)</v>
      </c>
      <c r="N30" s="6" cm="1">
        <f t="array" ref="N30">CAL_HB[Tau Cboot (µs)]</f>
        <v>0.41216914933879722</v>
      </c>
    </row>
    <row r="31" spans="1:15" x14ac:dyDescent="0.35">
      <c r="M31" s="32" t="str">
        <f>CAL_HB[[#Headers],[Tau Qg,on (µs)]]</f>
        <v>Tau Qg,on (µs)</v>
      </c>
      <c r="N31" s="6" cm="1">
        <f t="array" ref="N31">CAL_HB[Tau Qg,on (µs)]</f>
        <v>3.7768298758040761</v>
      </c>
    </row>
    <row r="32" spans="1:15" x14ac:dyDescent="0.35">
      <c r="O32" s="71"/>
    </row>
    <row r="33" spans="13:16" x14ac:dyDescent="0.35">
      <c r="M33" t="s">
        <v>285</v>
      </c>
    </row>
    <row r="34" spans="13:16" x14ac:dyDescent="0.35">
      <c r="M34" s="32" t="s">
        <v>203</v>
      </c>
      <c r="N34" s="6">
        <f>N16*2/N29*10^-9*N29^2*B6*10^3</f>
        <v>0.18772485333333333</v>
      </c>
      <c r="O34" s="41"/>
      <c r="P34" s="41"/>
    </row>
    <row r="35" spans="13:16" x14ac:dyDescent="0.35">
      <c r="M35" s="32" t="s">
        <v>227</v>
      </c>
      <c r="N35" s="6">
        <f xml:space="preserve"> N34   -    (N21+ 1/(1/N20+1/N21))/2   /   ((N21+ 1/(1/N20+1/N21))/2  +   (N8+N7+N6+N5)/4)*N34</f>
        <v>4.5149015358649791E-2</v>
      </c>
    </row>
    <row r="36" spans="13:16" x14ac:dyDescent="0.35">
      <c r="M36" s="32" t="s">
        <v>228</v>
      </c>
      <c r="N36" s="5">
        <f>(N34-N35)*(0.5+N21/(N20+N21)/2)</f>
        <v>0.10693187848101265</v>
      </c>
    </row>
    <row r="37" spans="13:16" x14ac:dyDescent="0.35">
      <c r="M37" s="32" t="s">
        <v>229</v>
      </c>
      <c r="N37" s="6">
        <f>(N34-N35)*(1-(0.5+N21/(N20+N21)/2))</f>
        <v>3.5643959493670885E-2</v>
      </c>
    </row>
    <row r="38" spans="13:16" x14ac:dyDescent="0.35">
      <c r="M38" s="32" t="s">
        <v>212</v>
      </c>
      <c r="N38" s="6">
        <f>N34*2</f>
        <v>0.37544970666666666</v>
      </c>
    </row>
  </sheetData>
  <mergeCells count="27">
    <mergeCell ref="D3:E3"/>
    <mergeCell ref="D1:E1"/>
    <mergeCell ref="D2:E2"/>
    <mergeCell ref="A2:B2"/>
    <mergeCell ref="A3:B3"/>
    <mergeCell ref="A1:B1"/>
    <mergeCell ref="J12:K12"/>
    <mergeCell ref="J1:K1"/>
    <mergeCell ref="G3:H3"/>
    <mergeCell ref="J2:K2"/>
    <mergeCell ref="J3:K3"/>
    <mergeCell ref="J8:K8"/>
    <mergeCell ref="G1:H1"/>
    <mergeCell ref="M1:N1"/>
    <mergeCell ref="M3:N3"/>
    <mergeCell ref="G2:H2"/>
    <mergeCell ref="G11:H11"/>
    <mergeCell ref="G8:H8"/>
    <mergeCell ref="M2:N2"/>
    <mergeCell ref="M24:N24"/>
    <mergeCell ref="M12:N12"/>
    <mergeCell ref="M18:N18"/>
    <mergeCell ref="J16:K16"/>
    <mergeCell ref="G14:H14"/>
    <mergeCell ref="M19:N19"/>
    <mergeCell ref="G15:H15"/>
    <mergeCell ref="G22:H22"/>
  </mergeCells>
  <hyperlinks>
    <hyperlink ref="J19" r:id="rId1" xr:uid="{6EA051B8-41A2-4DC1-B63C-EE1F61D6E0BA}"/>
    <hyperlink ref="J18" r:id="rId2" xr:uid="{3ECCE63C-58DF-4124-8B33-49D522BF62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74260428-6412-4A56-BC06-446A0E5892BB}">
          <x14:formula1>
            <xm:f>DB_MOSFETS!$A$2:$A$45</xm:f>
          </x14:formula1>
          <xm:sqref>D3:E3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J3:K3 G3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M3:N3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A3:B3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>
    <tabColor rgb="FF00B0F0"/>
  </sheetPr>
  <dimension ref="B2:S42"/>
  <sheetViews>
    <sheetView topLeftCell="E1" zoomScale="85" zoomScaleNormal="85" workbookViewId="0">
      <selection activeCell="R31" sqref="R31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82" t="s">
        <v>55</v>
      </c>
      <c r="C2" s="83"/>
      <c r="D2" s="83"/>
      <c r="E2" s="83"/>
      <c r="F2" s="83"/>
      <c r="G2" s="83"/>
      <c r="H2" s="83"/>
      <c r="I2" s="83"/>
      <c r="J2" s="83"/>
      <c r="K2" s="84"/>
      <c r="M2" s="8" t="str">
        <f>INPUTS!A12</f>
        <v>Vph spike (V) @ disarm</v>
      </c>
      <c r="N2" s="2">
        <f>INPUTS!B12</f>
        <v>30</v>
      </c>
      <c r="O2" s="3" t="s">
        <v>2</v>
      </c>
      <c r="Q2" s="8" t="s">
        <v>25</v>
      </c>
      <c r="R2" s="2">
        <f>INPUTS!H10</f>
        <v>12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INPUTS!A8</f>
        <v>Vbat max (V)</v>
      </c>
      <c r="N3" s="7">
        <f>INPUTS!B8</f>
        <v>25.200000000000003</v>
      </c>
      <c r="O3" s="3" t="s">
        <v>2</v>
      </c>
      <c r="Q3" s="8" t="s">
        <v>25</v>
      </c>
      <c r="R3" s="2">
        <f>2^R2</f>
        <v>4096</v>
      </c>
      <c r="S3" s="3" t="s">
        <v>27</v>
      </c>
    </row>
    <row r="4" spans="2:19" x14ac:dyDescent="0.35">
      <c r="B4" s="5">
        <v>0.1</v>
      </c>
      <c r="C4" s="5">
        <f t="shared" ref="C4:C22" si="0">B4/$N$5</f>
        <v>0.80909090909090919</v>
      </c>
      <c r="D4" s="51">
        <f>B4*C4/(B4+C4)+$N$17/1000</f>
        <v>0.13600000000000001</v>
      </c>
      <c r="E4" s="7">
        <f>$N$4/D4</f>
        <v>24.264705882352938</v>
      </c>
      <c r="F4" s="6">
        <f>IF($N$9=0,$N$23*($N$8+$N$7)*D4,$N$23*(0.01)*$N$7)</f>
        <v>1.5</v>
      </c>
      <c r="G4" s="6">
        <f>$N$9*(D4+$N$17/1000)*$N$14</f>
        <v>183</v>
      </c>
      <c r="H4" s="6">
        <f>1/(2*PI()*($N$8+$N$7+$N$9)*D4)*1000</f>
        <v>10.176147256515046</v>
      </c>
      <c r="I4" s="7">
        <f>$N$3*$N$3/(C4+B4)</f>
        <v>698.5440000000001</v>
      </c>
      <c r="J4" s="7">
        <f t="shared" ref="J4:J33" si="1">I4*$R$10/1000</f>
        <v>55.883520000000004</v>
      </c>
      <c r="K4" s="7">
        <f t="shared" ref="K4:K33" si="2">I4*$R$11/1000</f>
        <v>104.78160000000003</v>
      </c>
      <c r="M4" s="8" t="s">
        <v>66</v>
      </c>
      <c r="N4" s="2">
        <f>INPUTS!H4</f>
        <v>3.3</v>
      </c>
      <c r="O4" s="3" t="s">
        <v>2</v>
      </c>
      <c r="Q4" s="8" t="s">
        <v>25</v>
      </c>
      <c r="R4" s="16">
        <f>N2/R3</f>
        <v>7.32421875E-3</v>
      </c>
      <c r="S4" s="3" t="s">
        <v>28</v>
      </c>
    </row>
    <row r="5" spans="2:19" x14ac:dyDescent="0.35">
      <c r="B5" s="5">
        <v>0.2</v>
      </c>
      <c r="C5" s="5">
        <f t="shared" si="0"/>
        <v>1.6181818181818184</v>
      </c>
      <c r="D5" s="6">
        <f t="shared" ref="D5:D33" si="3">B5*C5/(B5+C5)+$N$17/1000</f>
        <v>0.22500000000000003</v>
      </c>
      <c r="E5" s="7">
        <f t="shared" ref="E5:E22" si="4">$N$4/D5</f>
        <v>14.666666666666664</v>
      </c>
      <c r="F5" s="6">
        <f t="shared" ref="F5:F33" si="5">IF($N$9=0,$N$23*($N$8+$N$7)*D5,$N$23*(0.1)*$N$7)</f>
        <v>15</v>
      </c>
      <c r="G5" s="6">
        <f t="shared" ref="G5:G35" si="6">$N$9*(D5+$N$17/1000)*$N$14</f>
        <v>272</v>
      </c>
      <c r="H5" s="6">
        <f t="shared" ref="H5:H33" si="7">1/(2*PI()*($N$8+$N$7+$N$9)*D5)*1000</f>
        <v>6.1509156750490934</v>
      </c>
      <c r="I5" s="7">
        <f t="shared" ref="I5:I13" si="8">$N$3*$N$3/(C5+B5)</f>
        <v>349.27200000000005</v>
      </c>
      <c r="J5" s="7">
        <f t="shared" si="1"/>
        <v>27.941760000000002</v>
      </c>
      <c r="K5" s="7">
        <f t="shared" si="2"/>
        <v>52.390800000000013</v>
      </c>
      <c r="M5" s="8" t="s">
        <v>5</v>
      </c>
      <c r="N5" s="5">
        <f>N4/(N2-N4)</f>
        <v>0.12359550561797752</v>
      </c>
      <c r="O5" s="3" t="s">
        <v>6</v>
      </c>
      <c r="Q5" s="8" t="s">
        <v>29</v>
      </c>
      <c r="R5" s="9">
        <f>N3/R4</f>
        <v>3440.6400000000003</v>
      </c>
      <c r="S5" s="3" t="s">
        <v>27</v>
      </c>
    </row>
    <row r="6" spans="2:19" x14ac:dyDescent="0.35">
      <c r="B6" s="5">
        <v>0.3</v>
      </c>
      <c r="C6" s="5">
        <f t="shared" si="0"/>
        <v>2.4272727272727272</v>
      </c>
      <c r="D6" s="6">
        <f t="shared" si="3"/>
        <v>0.314</v>
      </c>
      <c r="E6" s="7">
        <f t="shared" si="4"/>
        <v>10.509554140127388</v>
      </c>
      <c r="F6" s="6">
        <f t="shared" si="5"/>
        <v>15</v>
      </c>
      <c r="G6" s="6">
        <f t="shared" si="6"/>
        <v>361</v>
      </c>
      <c r="H6" s="6">
        <f t="shared" si="7"/>
        <v>4.4075032703377275</v>
      </c>
      <c r="I6" s="7">
        <f t="shared" si="8"/>
        <v>232.8480000000001</v>
      </c>
      <c r="J6" s="7">
        <f t="shared" si="1"/>
        <v>18.627840000000006</v>
      </c>
      <c r="K6" s="7">
        <f t="shared" si="2"/>
        <v>34.927200000000013</v>
      </c>
      <c r="N6" s="1"/>
      <c r="Q6" s="8" t="s">
        <v>70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3.2363636363636368</v>
      </c>
      <c r="D7" s="6">
        <f t="shared" si="3"/>
        <v>0.40300000000000002</v>
      </c>
      <c r="E7" s="7">
        <f t="shared" si="4"/>
        <v>8.1885856079404462</v>
      </c>
      <c r="F7" s="6">
        <f t="shared" si="5"/>
        <v>15</v>
      </c>
      <c r="G7" s="6">
        <f t="shared" si="6"/>
        <v>450</v>
      </c>
      <c r="H7" s="6">
        <f t="shared" si="7"/>
        <v>3.4341340617519762</v>
      </c>
      <c r="I7" s="7">
        <f t="shared" si="8"/>
        <v>174.63600000000002</v>
      </c>
      <c r="J7" s="7">
        <f t="shared" si="1"/>
        <v>13.970880000000001</v>
      </c>
      <c r="K7" s="7">
        <f t="shared" si="2"/>
        <v>26.195400000000006</v>
      </c>
      <c r="M7" s="8" t="s">
        <v>7</v>
      </c>
      <c r="N7" s="2">
        <f>_xlfn.XLOOKUP(INPUTS!G3, DB_ADC[Name], DB_ADC[Cadc,max (pF)])</f>
        <v>15</v>
      </c>
      <c r="O7" s="3" t="s">
        <v>9</v>
      </c>
      <c r="Q7" s="8" t="s">
        <v>69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4.0454545454545459</v>
      </c>
      <c r="D8" s="6">
        <f t="shared" si="3"/>
        <v>0.49199999999999999</v>
      </c>
      <c r="E8" s="7">
        <f t="shared" si="4"/>
        <v>6.7073170731707314</v>
      </c>
      <c r="F8" s="6">
        <f t="shared" si="5"/>
        <v>15</v>
      </c>
      <c r="G8" s="6">
        <f t="shared" si="6"/>
        <v>539</v>
      </c>
      <c r="H8" s="6">
        <f t="shared" si="7"/>
        <v>2.8129187538334279</v>
      </c>
      <c r="I8" s="7">
        <f t="shared" si="8"/>
        <v>139.70880000000002</v>
      </c>
      <c r="J8" s="7">
        <f t="shared" si="1"/>
        <v>11.176704000000001</v>
      </c>
      <c r="K8" s="7">
        <f t="shared" si="2"/>
        <v>20.956320000000002</v>
      </c>
      <c r="M8" s="8" t="s">
        <v>8</v>
      </c>
      <c r="N8" s="2">
        <v>0</v>
      </c>
      <c r="O8" s="3" t="s">
        <v>9</v>
      </c>
      <c r="Q8" s="8" t="s">
        <v>71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4.8545454545454545</v>
      </c>
      <c r="D9" s="6">
        <f t="shared" si="3"/>
        <v>0.58100000000000007</v>
      </c>
      <c r="E9" s="7">
        <f t="shared" si="4"/>
        <v>5.6798623063683298</v>
      </c>
      <c r="F9" s="6">
        <f t="shared" si="5"/>
        <v>15</v>
      </c>
      <c r="G9" s="6">
        <f t="shared" si="6"/>
        <v>628.00000000000011</v>
      </c>
      <c r="H9" s="6">
        <f t="shared" si="7"/>
        <v>2.3820241426610087</v>
      </c>
      <c r="I9" s="7">
        <f t="shared" si="8"/>
        <v>116.42400000000005</v>
      </c>
      <c r="J9" s="7">
        <f t="shared" si="1"/>
        <v>9.3139200000000031</v>
      </c>
      <c r="K9" s="7">
        <f t="shared" si="2"/>
        <v>17.463600000000007</v>
      </c>
      <c r="M9" s="8" t="s">
        <v>36</v>
      </c>
      <c r="N9" s="17">
        <f>INPUTS!H19</f>
        <v>100</v>
      </c>
      <c r="O9" s="3" t="s">
        <v>9</v>
      </c>
    </row>
    <row r="10" spans="2:19" x14ac:dyDescent="0.35">
      <c r="B10" s="5">
        <v>0.7</v>
      </c>
      <c r="C10" s="5">
        <f t="shared" si="0"/>
        <v>5.6636363636363631</v>
      </c>
      <c r="D10" s="6">
        <f t="shared" si="3"/>
        <v>0.66999999999999993</v>
      </c>
      <c r="E10" s="7">
        <f t="shared" si="4"/>
        <v>4.9253731343283587</v>
      </c>
      <c r="F10" s="6">
        <f t="shared" si="5"/>
        <v>15</v>
      </c>
      <c r="G10" s="6">
        <f t="shared" si="6"/>
        <v>717</v>
      </c>
      <c r="H10" s="6">
        <f t="shared" si="7"/>
        <v>2.0656060102776812</v>
      </c>
      <c r="I10" s="7">
        <f t="shared" si="8"/>
        <v>99.79200000000003</v>
      </c>
      <c r="J10" s="7">
        <f t="shared" si="1"/>
        <v>7.983360000000002</v>
      </c>
      <c r="K10" s="7">
        <f t="shared" si="2"/>
        <v>14.968800000000005</v>
      </c>
      <c r="M10" s="8" t="s">
        <v>274</v>
      </c>
      <c r="N10" s="2">
        <f>INPUTS!B6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>
        <f t="shared" si="0"/>
        <v>6.4727272727272736</v>
      </c>
      <c r="D11" s="6">
        <f t="shared" si="3"/>
        <v>0.75900000000000012</v>
      </c>
      <c r="E11" s="7">
        <f t="shared" si="4"/>
        <v>4.3478260869565206</v>
      </c>
      <c r="F11" s="6">
        <f t="shared" si="5"/>
        <v>15</v>
      </c>
      <c r="G11" s="6">
        <f t="shared" si="6"/>
        <v>806.00000000000023</v>
      </c>
      <c r="H11" s="6">
        <f t="shared" si="7"/>
        <v>1.823393974816925</v>
      </c>
      <c r="I11" s="7">
        <f t="shared" si="8"/>
        <v>87.318000000000012</v>
      </c>
      <c r="J11" s="7">
        <f t="shared" si="1"/>
        <v>6.9854400000000005</v>
      </c>
      <c r="K11" s="7">
        <f t="shared" si="2"/>
        <v>13.097700000000003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>
        <f t="shared" si="0"/>
        <v>7.2818181818181822</v>
      </c>
      <c r="D12" s="6">
        <f t="shared" si="3"/>
        <v>0.84800000000000009</v>
      </c>
      <c r="E12" s="7">
        <f t="shared" si="4"/>
        <v>3.8915094339622636</v>
      </c>
      <c r="F12" s="6">
        <f t="shared" si="5"/>
        <v>15</v>
      </c>
      <c r="G12" s="6">
        <f t="shared" si="6"/>
        <v>895.00000000000011</v>
      </c>
      <c r="H12" s="6">
        <f t="shared" si="7"/>
        <v>1.6320236166109034</v>
      </c>
      <c r="I12" s="7">
        <f t="shared" si="8"/>
        <v>77.616000000000028</v>
      </c>
      <c r="J12" s="7">
        <f t="shared" si="1"/>
        <v>6.2092800000000024</v>
      </c>
      <c r="K12" s="7">
        <f t="shared" si="2"/>
        <v>11.642400000000006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>
        <f t="shared" si="0"/>
        <v>8.0909090909090917</v>
      </c>
      <c r="D13" s="6">
        <f t="shared" si="3"/>
        <v>0.93700000000000006</v>
      </c>
      <c r="E13" s="7">
        <f t="shared" si="4"/>
        <v>3.5218783351120595</v>
      </c>
      <c r="F13" s="6">
        <f t="shared" si="5"/>
        <v>15</v>
      </c>
      <c r="G13" s="6">
        <f t="shared" si="6"/>
        <v>984</v>
      </c>
      <c r="H13" s="6">
        <f t="shared" si="7"/>
        <v>1.4770074993447666</v>
      </c>
      <c r="I13" s="7">
        <f t="shared" si="8"/>
        <v>69.854400000000012</v>
      </c>
      <c r="J13" s="7">
        <f t="shared" si="1"/>
        <v>5.5883520000000004</v>
      </c>
      <c r="K13" s="7">
        <f t="shared" si="2"/>
        <v>10.478160000000001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>
        <f t="shared" si="0"/>
        <v>8.9</v>
      </c>
      <c r="D14" s="6">
        <f t="shared" si="3"/>
        <v>1.026</v>
      </c>
      <c r="E14" s="7">
        <f t="shared" si="4"/>
        <v>3.2163742690058479</v>
      </c>
      <c r="F14" s="6">
        <f t="shared" si="5"/>
        <v>15</v>
      </c>
      <c r="G14" s="6">
        <f t="shared" si="6"/>
        <v>1073</v>
      </c>
      <c r="H14" s="6">
        <f t="shared" si="7"/>
        <v>1.348885016458135</v>
      </c>
      <c r="I14" s="7">
        <f t="shared" ref="I14:I21" si="9">$N$3*$N$3/(C14+B14)</f>
        <v>63.504000000000019</v>
      </c>
      <c r="J14" s="7">
        <f t="shared" si="1"/>
        <v>5.0803200000000013</v>
      </c>
      <c r="K14" s="7">
        <f t="shared" si="2"/>
        <v>9.5256000000000025</v>
      </c>
      <c r="M14" s="8" t="s">
        <v>62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9.709090909090909</v>
      </c>
      <c r="D15" s="6">
        <f t="shared" si="3"/>
        <v>1.115</v>
      </c>
      <c r="E15" s="7">
        <f t="shared" si="4"/>
        <v>2.9596412556053808</v>
      </c>
      <c r="F15" s="6">
        <f t="shared" si="5"/>
        <v>15</v>
      </c>
      <c r="G15" s="6">
        <f t="shared" si="6"/>
        <v>1162</v>
      </c>
      <c r="H15" s="6">
        <f t="shared" si="7"/>
        <v>1.241216167610804</v>
      </c>
      <c r="I15" s="7">
        <f t="shared" si="9"/>
        <v>58.212000000000025</v>
      </c>
      <c r="J15" s="7">
        <f t="shared" si="1"/>
        <v>4.6569600000000015</v>
      </c>
      <c r="K15" s="7">
        <f t="shared" si="2"/>
        <v>8.7318000000000033</v>
      </c>
      <c r="M15" s="8" t="s">
        <v>30</v>
      </c>
      <c r="N15" s="5">
        <f>(EXP(-N14))*100</f>
        <v>4.5399929762484853E-3</v>
      </c>
      <c r="O15" s="3" t="s">
        <v>31</v>
      </c>
      <c r="Q15" t="s">
        <v>18</v>
      </c>
    </row>
    <row r="16" spans="2:19" x14ac:dyDescent="0.35">
      <c r="B16" s="5">
        <v>1.3</v>
      </c>
      <c r="C16" s="5">
        <f t="shared" si="0"/>
        <v>10.518181818181819</v>
      </c>
      <c r="D16" s="6">
        <f t="shared" si="3"/>
        <v>1.204</v>
      </c>
      <c r="E16" s="7">
        <f t="shared" si="4"/>
        <v>2.7408637873754151</v>
      </c>
      <c r="F16" s="6">
        <f t="shared" si="5"/>
        <v>15</v>
      </c>
      <c r="G16" s="6">
        <f t="shared" si="6"/>
        <v>1251</v>
      </c>
      <c r="H16" s="6">
        <f t="shared" si="7"/>
        <v>1.149465138609673</v>
      </c>
      <c r="I16" s="7">
        <f t="shared" si="9"/>
        <v>53.734153846153852</v>
      </c>
      <c r="J16" s="7">
        <f t="shared" si="1"/>
        <v>4.2987323076923083</v>
      </c>
      <c r="K16" s="7">
        <f t="shared" si="2"/>
        <v>8.0601230769230785</v>
      </c>
      <c r="M16" s="8" t="s">
        <v>64</v>
      </c>
      <c r="N16" s="2">
        <f>INPUTS!B18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>
        <f t="shared" si="0"/>
        <v>11.327272727272726</v>
      </c>
      <c r="D17" s="6">
        <f t="shared" si="3"/>
        <v>1.2929999999999997</v>
      </c>
      <c r="E17" s="7">
        <f t="shared" si="4"/>
        <v>2.552204176334107</v>
      </c>
      <c r="F17" s="6">
        <f t="shared" si="5"/>
        <v>15</v>
      </c>
      <c r="G17" s="6">
        <f t="shared" si="6"/>
        <v>1339.9999999999998</v>
      </c>
      <c r="H17" s="6">
        <f t="shared" si="7"/>
        <v>1.0703449550549473</v>
      </c>
      <c r="I17" s="7">
        <f t="shared" si="9"/>
        <v>49.896000000000015</v>
      </c>
      <c r="J17" s="7">
        <f t="shared" si="1"/>
        <v>3.991680000000001</v>
      </c>
      <c r="K17" s="7">
        <f t="shared" si="2"/>
        <v>7.4844000000000026</v>
      </c>
      <c r="M17" s="8" t="s">
        <v>67</v>
      </c>
      <c r="N17" s="2">
        <f>Radc</f>
        <v>47</v>
      </c>
      <c r="O17" s="3" t="s">
        <v>68</v>
      </c>
    </row>
    <row r="18" spans="2:17" ht="15" thickBot="1" x14ac:dyDescent="0.4">
      <c r="B18" s="5">
        <v>1.5</v>
      </c>
      <c r="C18" s="5">
        <f t="shared" si="0"/>
        <v>12.136363636363637</v>
      </c>
      <c r="D18" s="6">
        <f t="shared" si="3"/>
        <v>1.3819999999999999</v>
      </c>
      <c r="E18" s="7">
        <f t="shared" si="4"/>
        <v>2.3878437047756873</v>
      </c>
      <c r="F18" s="6">
        <f t="shared" si="5"/>
        <v>15</v>
      </c>
      <c r="G18" s="6">
        <f t="shared" si="6"/>
        <v>1428.9999999999998</v>
      </c>
      <c r="H18" s="6">
        <f t="shared" si="7"/>
        <v>1.001415359541278</v>
      </c>
      <c r="I18" s="7">
        <f t="shared" si="9"/>
        <v>46.569600000000015</v>
      </c>
      <c r="J18" s="7">
        <f t="shared" si="1"/>
        <v>3.7255680000000013</v>
      </c>
      <c r="K18" s="7">
        <f t="shared" si="2"/>
        <v>6.9854400000000023</v>
      </c>
      <c r="Q18" t="s">
        <v>19</v>
      </c>
    </row>
    <row r="19" spans="2:17" x14ac:dyDescent="0.35">
      <c r="B19" s="5">
        <v>1.6</v>
      </c>
      <c r="C19" s="5">
        <f t="shared" si="0"/>
        <v>12.945454545454547</v>
      </c>
      <c r="D19" s="6">
        <f t="shared" si="3"/>
        <v>1.4710000000000001</v>
      </c>
      <c r="E19" s="7">
        <f t="shared" si="4"/>
        <v>2.243371855880353</v>
      </c>
      <c r="F19" s="6">
        <f t="shared" si="5"/>
        <v>15</v>
      </c>
      <c r="G19" s="6">
        <f t="shared" si="6"/>
        <v>1518</v>
      </c>
      <c r="H19" s="6">
        <f t="shared" si="7"/>
        <v>0.94082666681580296</v>
      </c>
      <c r="I19" s="7">
        <f t="shared" si="9"/>
        <v>43.659000000000006</v>
      </c>
      <c r="J19" s="7">
        <f t="shared" si="1"/>
        <v>3.4927200000000003</v>
      </c>
      <c r="K19" s="7">
        <f t="shared" si="2"/>
        <v>6.5488500000000016</v>
      </c>
      <c r="M19" s="79" t="s">
        <v>23</v>
      </c>
      <c r="N19" s="80"/>
      <c r="O19" s="81"/>
      <c r="Q19" t="s">
        <v>20</v>
      </c>
    </row>
    <row r="20" spans="2:17" x14ac:dyDescent="0.35">
      <c r="B20" s="5">
        <v>1.7</v>
      </c>
      <c r="C20" s="5">
        <f t="shared" si="0"/>
        <v>13.754545454545454</v>
      </c>
      <c r="D20" s="6">
        <f t="shared" si="3"/>
        <v>1.56</v>
      </c>
      <c r="E20" s="7">
        <f t="shared" si="4"/>
        <v>2.1153846153846154</v>
      </c>
      <c r="F20" s="6">
        <f t="shared" si="5"/>
        <v>15</v>
      </c>
      <c r="G20" s="6">
        <f t="shared" si="6"/>
        <v>1607</v>
      </c>
      <c r="H20" s="6">
        <f t="shared" si="7"/>
        <v>0.88715129928592706</v>
      </c>
      <c r="I20" s="7">
        <f t="shared" si="9"/>
        <v>41.090823529411779</v>
      </c>
      <c r="J20" s="7">
        <f t="shared" si="1"/>
        <v>3.2872658823529424</v>
      </c>
      <c r="K20" s="7">
        <f t="shared" si="2"/>
        <v>6.1636235294117672</v>
      </c>
      <c r="M20" s="12" t="s">
        <v>11</v>
      </c>
      <c r="N20" s="2">
        <f>INPUTS!H9</f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14.563636363636364</v>
      </c>
      <c r="D21" s="6">
        <f t="shared" si="3"/>
        <v>1.649</v>
      </c>
      <c r="E21" s="7">
        <f t="shared" si="4"/>
        <v>2.0012128562765312</v>
      </c>
      <c r="F21" s="6">
        <f t="shared" si="5"/>
        <v>15</v>
      </c>
      <c r="G21" s="6">
        <f t="shared" si="6"/>
        <v>1696</v>
      </c>
      <c r="H21" s="6">
        <f t="shared" si="7"/>
        <v>0.83926987682598331</v>
      </c>
      <c r="I21" s="7">
        <f t="shared" si="9"/>
        <v>38.808000000000014</v>
      </c>
      <c r="J21" s="7">
        <f t="shared" si="1"/>
        <v>3.1046400000000012</v>
      </c>
      <c r="K21" s="7">
        <f t="shared" si="2"/>
        <v>5.8212000000000028</v>
      </c>
      <c r="M21" s="12" t="s">
        <v>12</v>
      </c>
      <c r="N21" s="2">
        <f>INPUTS!H7</f>
        <v>60</v>
      </c>
      <c r="O21" s="13" t="s">
        <v>13</v>
      </c>
    </row>
    <row r="22" spans="2:17" x14ac:dyDescent="0.35">
      <c r="B22" s="5">
        <v>1.9</v>
      </c>
      <c r="C22" s="5">
        <f t="shared" si="0"/>
        <v>15.372727272727273</v>
      </c>
      <c r="D22" s="6">
        <f t="shared" si="3"/>
        <v>1.7379999999999998</v>
      </c>
      <c r="E22" s="7">
        <f t="shared" si="4"/>
        <v>1.89873417721519</v>
      </c>
      <c r="F22" s="6">
        <f t="shared" si="5"/>
        <v>15</v>
      </c>
      <c r="G22" s="6">
        <f t="shared" si="6"/>
        <v>1784.9999999999998</v>
      </c>
      <c r="H22" s="6">
        <f t="shared" si="7"/>
        <v>0.79629230545802454</v>
      </c>
      <c r="I22" s="7">
        <f t="shared" ref="I22" si="10">$N$3*$N$3/(C22+B22)</f>
        <v>36.765473684210534</v>
      </c>
      <c r="J22" s="7">
        <f t="shared" si="1"/>
        <v>2.9412378947368425</v>
      </c>
      <c r="K22" s="7">
        <f t="shared" si="2"/>
        <v>5.5148210526315795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16.181818181818183</v>
      </c>
      <c r="D23" s="6">
        <f t="shared" si="3"/>
        <v>1.827</v>
      </c>
      <c r="E23" s="7">
        <f t="shared" ref="E23:E33" si="12">$N$4/D23</f>
        <v>1.80623973727422</v>
      </c>
      <c r="F23" s="6">
        <f t="shared" si="5"/>
        <v>15</v>
      </c>
      <c r="G23" s="6">
        <f t="shared" si="6"/>
        <v>1873.9999999999998</v>
      </c>
      <c r="H23" s="6">
        <f t="shared" si="7"/>
        <v>0.75750193042476555</v>
      </c>
      <c r="I23" s="7">
        <f t="shared" ref="I23:I33" si="13">$N$3*$N$3/(C23+B23)</f>
        <v>34.927200000000006</v>
      </c>
      <c r="J23" s="7">
        <f t="shared" si="1"/>
        <v>2.7941760000000002</v>
      </c>
      <c r="K23" s="7">
        <f t="shared" si="2"/>
        <v>5.2390800000000004</v>
      </c>
      <c r="M23" s="12" t="s">
        <v>63</v>
      </c>
      <c r="N23" s="2">
        <f>INPUTS!H21</f>
        <v>10</v>
      </c>
      <c r="O23" s="13" t="s">
        <v>6</v>
      </c>
    </row>
    <row r="24" spans="2:17" x14ac:dyDescent="0.35">
      <c r="B24" s="5">
        <v>3</v>
      </c>
      <c r="C24" s="5">
        <f t="shared" si="11"/>
        <v>24.272727272727273</v>
      </c>
      <c r="D24" s="6">
        <f t="shared" si="3"/>
        <v>2.7170000000000001</v>
      </c>
      <c r="E24" s="7">
        <f t="shared" si="12"/>
        <v>1.214574898785425</v>
      </c>
      <c r="F24" s="6">
        <f t="shared" si="5"/>
        <v>15</v>
      </c>
      <c r="G24" s="6">
        <f t="shared" si="6"/>
        <v>2764.0000000000005</v>
      </c>
      <c r="H24" s="6">
        <f t="shared" si="7"/>
        <v>0.50936916705412083</v>
      </c>
      <c r="I24" s="7">
        <f t="shared" si="13"/>
        <v>23.284800000000008</v>
      </c>
      <c r="J24" s="7">
        <f t="shared" si="1"/>
        <v>1.8627840000000007</v>
      </c>
      <c r="K24" s="7">
        <f t="shared" si="2"/>
        <v>3.4927200000000012</v>
      </c>
      <c r="M24" s="12" t="s">
        <v>30</v>
      </c>
      <c r="N24" s="5">
        <f>(EXP(-N23))*100</f>
        <v>4.5399929762484853E-3</v>
      </c>
      <c r="O24" s="13" t="s">
        <v>31</v>
      </c>
    </row>
    <row r="25" spans="2:17" x14ac:dyDescent="0.35">
      <c r="B25" s="5">
        <v>4</v>
      </c>
      <c r="C25" s="5">
        <f t="shared" si="11"/>
        <v>32.363636363636367</v>
      </c>
      <c r="D25" s="6">
        <f t="shared" si="3"/>
        <v>3.6070000000000002</v>
      </c>
      <c r="E25" s="7">
        <f t="shared" si="12"/>
        <v>0.91488771832547811</v>
      </c>
      <c r="F25" s="6">
        <f t="shared" si="5"/>
        <v>15</v>
      </c>
      <c r="G25" s="6">
        <f t="shared" si="6"/>
        <v>3654.0000000000005</v>
      </c>
      <c r="H25" s="6">
        <f t="shared" si="7"/>
        <v>0.38368617324259668</v>
      </c>
      <c r="I25" s="7">
        <f t="shared" si="13"/>
        <v>17.463600000000003</v>
      </c>
      <c r="J25" s="7">
        <f t="shared" si="1"/>
        <v>1.3970880000000001</v>
      </c>
      <c r="K25" s="7">
        <f t="shared" si="2"/>
        <v>2.6195400000000002</v>
      </c>
      <c r="M25" s="12" t="s">
        <v>30</v>
      </c>
      <c r="N25" s="5">
        <f>N24*R3/100</f>
        <v>0.18595811230713796</v>
      </c>
      <c r="O25" s="13" t="s">
        <v>27</v>
      </c>
    </row>
    <row r="26" spans="2:17" x14ac:dyDescent="0.35">
      <c r="B26" s="5">
        <v>5</v>
      </c>
      <c r="C26" s="5">
        <f t="shared" si="11"/>
        <v>40.454545454545453</v>
      </c>
      <c r="D26" s="6">
        <f t="shared" si="3"/>
        <v>4.496999999999999</v>
      </c>
      <c r="E26" s="7">
        <f t="shared" si="12"/>
        <v>0.73382254836557714</v>
      </c>
      <c r="F26" s="6">
        <f t="shared" si="5"/>
        <v>15</v>
      </c>
      <c r="G26" s="6">
        <f t="shared" si="6"/>
        <v>4543.9999999999982</v>
      </c>
      <c r="H26" s="6">
        <f t="shared" si="7"/>
        <v>0.30775095105315692</v>
      </c>
      <c r="I26" s="7">
        <f t="shared" si="13"/>
        <v>13.970880000000005</v>
      </c>
      <c r="J26" s="7">
        <f t="shared" si="1"/>
        <v>1.1176704000000004</v>
      </c>
      <c r="K26" s="7">
        <f t="shared" si="2"/>
        <v>2.0956320000000006</v>
      </c>
      <c r="M26" s="12" t="s">
        <v>30</v>
      </c>
      <c r="N26" s="30">
        <f>R4*N25*1000</f>
        <v>1.3619978928745455</v>
      </c>
      <c r="O26" s="29" t="s">
        <v>52</v>
      </c>
    </row>
    <row r="27" spans="2:17" ht="15" thickBot="1" x14ac:dyDescent="0.4">
      <c r="B27" s="5">
        <v>6</v>
      </c>
      <c r="C27" s="5">
        <f t="shared" si="11"/>
        <v>48.545454545454547</v>
      </c>
      <c r="D27" s="6">
        <f t="shared" si="3"/>
        <v>5.3869999999999996</v>
      </c>
      <c r="E27" s="7">
        <f t="shared" si="12"/>
        <v>0.61258585483571559</v>
      </c>
      <c r="F27" s="6">
        <f t="shared" si="5"/>
        <v>15</v>
      </c>
      <c r="G27" s="6">
        <f t="shared" si="6"/>
        <v>5434</v>
      </c>
      <c r="H27" s="6">
        <f t="shared" si="7"/>
        <v>0.25690663205606956</v>
      </c>
      <c r="I27" s="7">
        <f t="shared" si="13"/>
        <v>11.642400000000004</v>
      </c>
      <c r="J27" s="7">
        <f t="shared" si="1"/>
        <v>0.93139200000000033</v>
      </c>
      <c r="K27" s="7">
        <f t="shared" si="2"/>
        <v>1.7463600000000006</v>
      </c>
      <c r="M27" s="14" t="s">
        <v>37</v>
      </c>
      <c r="N27" s="19">
        <f>N26/N3</f>
        <v>5.4047535431529577E-2</v>
      </c>
      <c r="O27" s="15" t="s">
        <v>31</v>
      </c>
    </row>
    <row r="28" spans="2:17" x14ac:dyDescent="0.35">
      <c r="B28" s="5">
        <v>7</v>
      </c>
      <c r="C28" s="5">
        <f t="shared" si="11"/>
        <v>56.63636363636364</v>
      </c>
      <c r="D28" s="6">
        <f t="shared" si="3"/>
        <v>6.2770000000000001</v>
      </c>
      <c r="E28" s="7">
        <f t="shared" si="12"/>
        <v>0.52572885136211567</v>
      </c>
      <c r="F28" s="6">
        <f t="shared" si="5"/>
        <v>15</v>
      </c>
      <c r="G28" s="6">
        <f t="shared" si="6"/>
        <v>6324</v>
      </c>
      <c r="H28" s="6">
        <f t="shared" si="7"/>
        <v>0.22048048859105407</v>
      </c>
      <c r="I28" s="7">
        <f t="shared" si="13"/>
        <v>9.9792000000000023</v>
      </c>
      <c r="J28" s="7">
        <f t="shared" si="1"/>
        <v>0.79833600000000027</v>
      </c>
      <c r="K28" s="7">
        <f t="shared" si="2"/>
        <v>1.4968800000000004</v>
      </c>
    </row>
    <row r="29" spans="2:17" x14ac:dyDescent="0.35">
      <c r="B29" s="5">
        <v>8</v>
      </c>
      <c r="C29" s="5">
        <f t="shared" si="11"/>
        <v>64.727272727272734</v>
      </c>
      <c r="D29" s="6">
        <f t="shared" si="3"/>
        <v>7.1669999999999998</v>
      </c>
      <c r="E29" s="7">
        <f t="shared" si="12"/>
        <v>0.46044370029300963</v>
      </c>
      <c r="F29" s="6">
        <f t="shared" si="5"/>
        <v>15</v>
      </c>
      <c r="G29" s="6">
        <f t="shared" si="6"/>
        <v>7214</v>
      </c>
      <c r="H29" s="6">
        <f t="shared" si="7"/>
        <v>0.19310116183703732</v>
      </c>
      <c r="I29" s="7">
        <f t="shared" si="13"/>
        <v>8.7318000000000016</v>
      </c>
      <c r="J29" s="7">
        <f t="shared" si="1"/>
        <v>0.69854400000000005</v>
      </c>
      <c r="K29" s="7">
        <f t="shared" si="2"/>
        <v>1.3097700000000001</v>
      </c>
      <c r="M29" t="s">
        <v>65</v>
      </c>
    </row>
    <row r="30" spans="2:17" x14ac:dyDescent="0.35">
      <c r="B30" s="5">
        <v>9</v>
      </c>
      <c r="C30" s="5">
        <f t="shared" si="11"/>
        <v>72.818181818181827</v>
      </c>
      <c r="D30" s="6">
        <f t="shared" si="3"/>
        <v>8.0570000000000004</v>
      </c>
      <c r="E30" s="7">
        <f t="shared" si="12"/>
        <v>0.40958173017252075</v>
      </c>
      <c r="F30" s="6">
        <f t="shared" si="5"/>
        <v>15</v>
      </c>
      <c r="G30" s="6">
        <f t="shared" si="6"/>
        <v>8104.0000000000009</v>
      </c>
      <c r="H30" s="6">
        <f t="shared" si="7"/>
        <v>0.1717706375680832</v>
      </c>
      <c r="I30" s="7">
        <f t="shared" si="13"/>
        <v>7.7616000000000014</v>
      </c>
      <c r="J30" s="7">
        <f t="shared" si="1"/>
        <v>0.62092800000000015</v>
      </c>
      <c r="K30" s="7">
        <f t="shared" si="2"/>
        <v>1.1642400000000002</v>
      </c>
    </row>
    <row r="31" spans="2:17" x14ac:dyDescent="0.35">
      <c r="B31" s="5">
        <v>10</v>
      </c>
      <c r="C31" s="5">
        <f t="shared" si="11"/>
        <v>80.909090909090907</v>
      </c>
      <c r="D31" s="6">
        <f t="shared" si="3"/>
        <v>8.9469999999999992</v>
      </c>
      <c r="E31" s="7">
        <f t="shared" si="12"/>
        <v>0.36883871688834247</v>
      </c>
      <c r="F31" s="6">
        <f t="shared" si="5"/>
        <v>15</v>
      </c>
      <c r="G31" s="6">
        <f t="shared" si="6"/>
        <v>8994</v>
      </c>
      <c r="H31" s="6">
        <f t="shared" si="7"/>
        <v>0.15468380763228418</v>
      </c>
      <c r="I31" s="7">
        <f t="shared" si="13"/>
        <v>6.9854400000000023</v>
      </c>
      <c r="J31" s="7">
        <f t="shared" si="1"/>
        <v>0.5588352000000002</v>
      </c>
      <c r="K31" s="7">
        <f t="shared" si="2"/>
        <v>1.0478160000000003</v>
      </c>
    </row>
    <row r="32" spans="2:17" x14ac:dyDescent="0.35">
      <c r="B32" s="5">
        <v>20</v>
      </c>
      <c r="C32" s="5">
        <f t="shared" si="11"/>
        <v>161.81818181818181</v>
      </c>
      <c r="D32" s="6">
        <f t="shared" si="3"/>
        <v>17.846999999999998</v>
      </c>
      <c r="E32" s="7">
        <f t="shared" si="12"/>
        <v>0.18490502605479914</v>
      </c>
      <c r="F32" s="6">
        <f t="shared" si="5"/>
        <v>15</v>
      </c>
      <c r="G32" s="6">
        <f t="shared" si="6"/>
        <v>17894</v>
      </c>
      <c r="H32" s="6">
        <f t="shared" si="7"/>
        <v>7.7545583396988096E-2</v>
      </c>
      <c r="I32" s="7">
        <f t="shared" si="13"/>
        <v>3.4927200000000012</v>
      </c>
      <c r="J32" s="7">
        <f t="shared" si="1"/>
        <v>0.2794176000000001</v>
      </c>
      <c r="K32" s="7">
        <f t="shared" si="2"/>
        <v>0.52390800000000015</v>
      </c>
    </row>
    <row r="33" spans="2:13" x14ac:dyDescent="0.35">
      <c r="B33" s="21">
        <v>0.39</v>
      </c>
      <c r="C33" s="21">
        <f t="shared" si="11"/>
        <v>3.1554545454545457</v>
      </c>
      <c r="D33" s="20">
        <f t="shared" si="3"/>
        <v>0.39410000000000001</v>
      </c>
      <c r="E33" s="20">
        <f t="shared" si="12"/>
        <v>8.3735092616087279</v>
      </c>
      <c r="F33" s="6">
        <f t="shared" si="5"/>
        <v>15</v>
      </c>
      <c r="G33" s="6">
        <f t="shared" si="6"/>
        <v>441.1</v>
      </c>
      <c r="H33" s="6">
        <f t="shared" si="7"/>
        <v>3.5116874572089478</v>
      </c>
      <c r="I33" s="20">
        <f t="shared" si="13"/>
        <v>179.1138461538462</v>
      </c>
      <c r="J33" s="20">
        <f t="shared" si="1"/>
        <v>14.329107692307696</v>
      </c>
      <c r="K33" s="20">
        <f t="shared" si="2"/>
        <v>26.86707692307693</v>
      </c>
      <c r="M33">
        <f>$N$2*B33/(C33+B33)</f>
        <v>3.3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8.0173431270355664</v>
      </c>
      <c r="F35" s="24">
        <f t="shared" ref="F35" si="16">IF($N$9=0,$N$23*($N$8+$N$7)*D35,$N$23*(0.1)*D35)</f>
        <v>0.41160767946577625</v>
      </c>
      <c r="G35" s="6">
        <f t="shared" si="6"/>
        <v>458.60767946577624</v>
      </c>
      <c r="H35" s="6">
        <f t="shared" ref="H35" si="17">1/(2*PI()*($N$8+$N$7+$N$9)*D35)*1000</f>
        <v>3.3623182849316042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1.9532554257095163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54" t="s">
        <v>148</v>
      </c>
      <c r="C41" s="52" t="s">
        <v>156</v>
      </c>
      <c r="D41" s="54" t="s">
        <v>147</v>
      </c>
      <c r="E41" s="53" t="s">
        <v>158</v>
      </c>
      <c r="F41" s="53" t="s">
        <v>160</v>
      </c>
      <c r="G41" s="56" t="s">
        <v>164</v>
      </c>
      <c r="H41" s="56" t="s">
        <v>166</v>
      </c>
    </row>
    <row r="42" spans="2:13" x14ac:dyDescent="0.35">
      <c r="B42" s="43">
        <f>INPUTS!H16</f>
        <v>390</v>
      </c>
      <c r="C42" s="41"/>
      <c r="D42" s="9">
        <f>INPUTS!H17</f>
        <v>5600</v>
      </c>
      <c r="E42" s="6">
        <f>CAL_Vsense[[#This Row],[Rtop (Ω)]]*CAL_Vsense[[#This Row],[Rbot (Ω)]]/(CAL_Vsense[[#This Row],[Rbot (Ω)]]+CAL_Vsense[[#This Row],[Rtop (Ω)]])+Radc</f>
        <v>411.6076794657763</v>
      </c>
      <c r="F42" s="7" cm="1">
        <f t="array" ref="F42">DB_ADC[Vinadc = Vdd (V)]/CAL_Vsense[[#This Row],[Rth (Ω)]]*1000</f>
        <v>8.0173431270355664</v>
      </c>
      <c r="G42" s="55" cm="1">
        <f t="array" ref="G42">INPUTS!H20*DB_trace[Rtrace (mΩ/mm)]/1000</f>
        <v>0.24</v>
      </c>
      <c r="H42" s="55">
        <f>INPUTS!H21*CAL_Vsense[[#This Row],[R_CinToAdc (Ω)]]*INPUTS!H20</f>
        <v>240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>
    <tabColor rgb="FF00B0F0"/>
  </sheetPr>
  <dimension ref="B2:K16"/>
  <sheetViews>
    <sheetView zoomScale="115" zoomScaleNormal="115" workbookViewId="0">
      <selection activeCell="I22" sqref="I22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16.26953125" customWidth="1"/>
    <col min="10" max="10" width="5.90625" bestFit="1" customWidth="1"/>
    <col min="11" max="11" width="6.08984375" bestFit="1" customWidth="1"/>
  </cols>
  <sheetData>
    <row r="2" spans="2:11" x14ac:dyDescent="0.35">
      <c r="B2" s="94" t="s">
        <v>56</v>
      </c>
      <c r="C2" s="94"/>
      <c r="D2" s="94"/>
      <c r="E2" s="94"/>
      <c r="F2" s="94"/>
      <c r="G2" s="94"/>
      <c r="I2" s="8" t="s">
        <v>48</v>
      </c>
      <c r="J2" s="2">
        <v>0.01</v>
      </c>
      <c r="K2" s="3" t="s">
        <v>49</v>
      </c>
    </row>
    <row r="3" spans="2:11" x14ac:dyDescent="0.35">
      <c r="B3" s="64" t="s">
        <v>54</v>
      </c>
      <c r="C3" s="65" t="s">
        <v>53</v>
      </c>
      <c r="D3" s="65" t="s">
        <v>215</v>
      </c>
      <c r="E3" s="65" t="s">
        <v>219</v>
      </c>
      <c r="F3" s="66" t="s">
        <v>220</v>
      </c>
      <c r="G3" s="66" t="s">
        <v>59</v>
      </c>
      <c r="I3" s="8" t="s">
        <v>51</v>
      </c>
      <c r="J3" s="2">
        <f>INPUTS!B5</f>
        <v>90</v>
      </c>
      <c r="K3" s="3" t="s">
        <v>31</v>
      </c>
    </row>
    <row r="4" spans="2:11" x14ac:dyDescent="0.35">
      <c r="B4" s="60">
        <f>0.1*1000</f>
        <v>100</v>
      </c>
      <c r="C4" s="6">
        <f t="shared" ref="C4:C14" si="0">B4*$J$5*$J$5/1000/1000*$J$3/100</f>
        <v>3.6000000000000004E-2</v>
      </c>
      <c r="D4" s="6">
        <f t="shared" ref="D4:D14" si="1">$J$6*B4/1000*$J$12/1000</f>
        <v>0.32</v>
      </c>
      <c r="E4" s="6">
        <f t="shared" ref="E4:E14" si="2">$J$5*B4/1000*$J$12/1000</f>
        <v>0.128</v>
      </c>
      <c r="F4" s="72">
        <f t="shared" ref="F4:F14" si="3">$J$4*B4/1000*$J$12/1000</f>
        <v>0.08</v>
      </c>
      <c r="G4" s="62">
        <f t="shared" ref="G4:G14" si="4">$J$6/(D4/1000*$J$10/$J$8)</f>
        <v>125.88500976562497</v>
      </c>
      <c r="I4" s="8" t="str">
        <f>INPUTS!A13</f>
        <v>Iph typ (A) @ 95% ToF</v>
      </c>
      <c r="J4" s="2">
        <f>INPUTS!B13</f>
        <v>12.5</v>
      </c>
      <c r="K4" s="3" t="s">
        <v>49</v>
      </c>
    </row>
    <row r="5" spans="2:11" x14ac:dyDescent="0.35">
      <c r="B5" s="60">
        <f>B4+100</f>
        <v>200</v>
      </c>
      <c r="C5" s="6">
        <f t="shared" si="0"/>
        <v>7.2000000000000008E-2</v>
      </c>
      <c r="D5" s="6">
        <f t="shared" si="1"/>
        <v>0.64</v>
      </c>
      <c r="E5" s="6">
        <f t="shared" si="2"/>
        <v>0.25600000000000001</v>
      </c>
      <c r="F5" s="72">
        <f t="shared" si="3"/>
        <v>0.16</v>
      </c>
      <c r="G5" s="62">
        <f t="shared" si="4"/>
        <v>62.942504882812486</v>
      </c>
      <c r="I5" s="8" t="str">
        <f>INPUTS!A14</f>
        <v>Iph max (A@Xs) @ 4.9% ToF</v>
      </c>
      <c r="J5" s="2">
        <f>INPUTS!B14</f>
        <v>20</v>
      </c>
      <c r="K5" s="3" t="s">
        <v>49</v>
      </c>
    </row>
    <row r="6" spans="2:11" x14ac:dyDescent="0.35">
      <c r="B6" s="60">
        <v>250</v>
      </c>
      <c r="C6" s="6">
        <f t="shared" si="0"/>
        <v>0.09</v>
      </c>
      <c r="D6" s="6">
        <f t="shared" si="1"/>
        <v>0.8</v>
      </c>
      <c r="E6" s="6">
        <f t="shared" si="2"/>
        <v>0.32</v>
      </c>
      <c r="F6" s="72">
        <f t="shared" si="3"/>
        <v>0.2</v>
      </c>
      <c r="G6" s="62">
        <f t="shared" si="4"/>
        <v>50.354003906249993</v>
      </c>
      <c r="I6" s="8" t="str">
        <f>INPUTS!A15</f>
        <v>Iph spike (A@Xms) @ 0.1% ToF</v>
      </c>
      <c r="J6" s="2">
        <f>INPUTS!B15</f>
        <v>50</v>
      </c>
      <c r="K6" s="3" t="s">
        <v>49</v>
      </c>
    </row>
    <row r="7" spans="2:11" x14ac:dyDescent="0.35">
      <c r="B7" s="60">
        <f>B5+100</f>
        <v>300</v>
      </c>
      <c r="C7" s="6">
        <f t="shared" si="0"/>
        <v>0.10799999999999998</v>
      </c>
      <c r="D7" s="6">
        <f t="shared" si="1"/>
        <v>0.96</v>
      </c>
      <c r="E7" s="6">
        <f t="shared" si="2"/>
        <v>0.38400000000000001</v>
      </c>
      <c r="F7" s="72">
        <f t="shared" si="3"/>
        <v>0.24</v>
      </c>
      <c r="G7" s="62">
        <f t="shared" si="4"/>
        <v>41.961669921875</v>
      </c>
    </row>
    <row r="8" spans="2:11" x14ac:dyDescent="0.35">
      <c r="B8" s="60">
        <f t="shared" ref="B8:B14" si="5">B7+100</f>
        <v>400</v>
      </c>
      <c r="C8" s="6">
        <f t="shared" si="0"/>
        <v>0.14400000000000002</v>
      </c>
      <c r="D8" s="6">
        <f t="shared" si="1"/>
        <v>1.28</v>
      </c>
      <c r="E8" s="6">
        <f t="shared" si="2"/>
        <v>0.51200000000000001</v>
      </c>
      <c r="F8" s="72">
        <f t="shared" si="3"/>
        <v>0.32</v>
      </c>
      <c r="G8" s="62">
        <f t="shared" si="4"/>
        <v>31.471252441406243</v>
      </c>
      <c r="I8" s="8" t="s">
        <v>50</v>
      </c>
      <c r="J8" s="6">
        <f>INPUTS!K4</f>
        <v>3.3</v>
      </c>
      <c r="K8" s="3" t="s">
        <v>2</v>
      </c>
    </row>
    <row r="9" spans="2:11" x14ac:dyDescent="0.35">
      <c r="B9" s="61">
        <f t="shared" si="5"/>
        <v>500</v>
      </c>
      <c r="C9" s="26">
        <f t="shared" si="0"/>
        <v>0.18</v>
      </c>
      <c r="D9" s="26">
        <f t="shared" si="1"/>
        <v>1.6</v>
      </c>
      <c r="E9" s="26">
        <f t="shared" si="2"/>
        <v>0.64</v>
      </c>
      <c r="F9" s="73">
        <f t="shared" si="3"/>
        <v>0.4</v>
      </c>
      <c r="G9" s="63">
        <f t="shared" si="4"/>
        <v>25.177001953124996</v>
      </c>
      <c r="I9" s="8" t="s">
        <v>25</v>
      </c>
      <c r="J9" s="2">
        <f>INPUTS!K10</f>
        <v>12</v>
      </c>
      <c r="K9" s="3" t="s">
        <v>26</v>
      </c>
    </row>
    <row r="10" spans="2:11" x14ac:dyDescent="0.35">
      <c r="B10" s="60">
        <f t="shared" si="5"/>
        <v>600</v>
      </c>
      <c r="C10" s="6">
        <f t="shared" si="0"/>
        <v>0.21599999999999997</v>
      </c>
      <c r="D10" s="6">
        <f t="shared" si="1"/>
        <v>1.92</v>
      </c>
      <c r="E10" s="6">
        <f t="shared" si="2"/>
        <v>0.76800000000000002</v>
      </c>
      <c r="F10" s="72">
        <f t="shared" si="3"/>
        <v>0.48</v>
      </c>
      <c r="G10" s="62">
        <f t="shared" si="4"/>
        <v>20.9808349609375</v>
      </c>
      <c r="I10" s="8" t="s">
        <v>25</v>
      </c>
      <c r="J10" s="2">
        <f>2^J9</f>
        <v>4096</v>
      </c>
      <c r="K10" s="3" t="s">
        <v>27</v>
      </c>
    </row>
    <row r="11" spans="2:11" x14ac:dyDescent="0.35">
      <c r="B11" s="60">
        <f t="shared" si="5"/>
        <v>700</v>
      </c>
      <c r="C11" s="6">
        <f t="shared" si="0"/>
        <v>0.252</v>
      </c>
      <c r="D11" s="6">
        <f t="shared" si="1"/>
        <v>2.2400000000000002</v>
      </c>
      <c r="E11" s="6">
        <f t="shared" si="2"/>
        <v>0.89600000000000002</v>
      </c>
      <c r="F11" s="72">
        <f t="shared" si="3"/>
        <v>0.56000000000000005</v>
      </c>
      <c r="G11" s="62">
        <f t="shared" si="4"/>
        <v>17.983572823660712</v>
      </c>
      <c r="I11" s="8" t="s">
        <v>25</v>
      </c>
      <c r="J11" s="7">
        <f>J8/J10*1000</f>
        <v>0.8056640625</v>
      </c>
      <c r="K11" s="3" t="s">
        <v>57</v>
      </c>
    </row>
    <row r="12" spans="2:11" x14ac:dyDescent="0.35">
      <c r="B12" s="60">
        <f t="shared" si="5"/>
        <v>800</v>
      </c>
      <c r="C12" s="6">
        <f t="shared" si="0"/>
        <v>0.28800000000000003</v>
      </c>
      <c r="D12" s="6">
        <f t="shared" si="1"/>
        <v>2.56</v>
      </c>
      <c r="E12" s="6">
        <f t="shared" si="2"/>
        <v>1.024</v>
      </c>
      <c r="F12" s="72">
        <f t="shared" si="3"/>
        <v>0.64</v>
      </c>
      <c r="G12" s="62">
        <f t="shared" si="4"/>
        <v>15.735626220703121</v>
      </c>
      <c r="I12" s="8" t="s">
        <v>58</v>
      </c>
      <c r="J12" s="9">
        <f>INPUTS!K11</f>
        <v>64</v>
      </c>
      <c r="K12" s="3" t="s">
        <v>6</v>
      </c>
    </row>
    <row r="13" spans="2:11" x14ac:dyDescent="0.35">
      <c r="B13" s="60">
        <f t="shared" si="5"/>
        <v>900</v>
      </c>
      <c r="C13" s="6">
        <f t="shared" si="0"/>
        <v>0.32400000000000001</v>
      </c>
      <c r="D13" s="6">
        <f t="shared" si="1"/>
        <v>2.88</v>
      </c>
      <c r="E13" s="6">
        <f t="shared" si="2"/>
        <v>1.1519999999999999</v>
      </c>
      <c r="F13" s="72">
        <f t="shared" si="3"/>
        <v>0.72</v>
      </c>
      <c r="G13" s="62">
        <f t="shared" si="4"/>
        <v>13.987223307291666</v>
      </c>
    </row>
    <row r="14" spans="2:11" x14ac:dyDescent="0.35">
      <c r="B14" s="67">
        <f t="shared" si="5"/>
        <v>1000</v>
      </c>
      <c r="C14" s="44">
        <f t="shared" si="0"/>
        <v>0.36</v>
      </c>
      <c r="D14" s="44">
        <f t="shared" si="1"/>
        <v>3.2</v>
      </c>
      <c r="E14" s="44">
        <f t="shared" si="2"/>
        <v>1.28</v>
      </c>
      <c r="F14" s="74">
        <f t="shared" si="3"/>
        <v>0.8</v>
      </c>
      <c r="G14" s="68">
        <f t="shared" si="4"/>
        <v>12.588500976562498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sheetPr>
    <tabColor rgb="FF00B0F0"/>
  </sheetPr>
  <dimension ref="A1:AM2"/>
  <sheetViews>
    <sheetView topLeftCell="J1" zoomScaleNormal="100" workbookViewId="0">
      <selection activeCell="V18" sqref="V18"/>
    </sheetView>
  </sheetViews>
  <sheetFormatPr defaultColWidth="10.90625" defaultRowHeight="14.5" x14ac:dyDescent="0.35"/>
  <cols>
    <col min="1" max="1" width="14" bestFit="1" customWidth="1"/>
    <col min="2" max="3" width="13.81640625" bestFit="1" customWidth="1"/>
    <col min="4" max="4" width="16.1796875" bestFit="1" customWidth="1"/>
    <col min="5" max="5" width="16.453125" bestFit="1" customWidth="1"/>
    <col min="6" max="6" width="9.7265625" bestFit="1" customWidth="1"/>
    <col min="7" max="7" width="10.453125" bestFit="1" customWidth="1"/>
    <col min="8" max="8" width="15" bestFit="1" customWidth="1"/>
    <col min="9" max="9" width="16.1796875" bestFit="1" customWidth="1"/>
    <col min="10" max="10" width="13.81640625" customWidth="1"/>
    <col min="11" max="11" width="15.6328125" customWidth="1"/>
    <col min="12" max="12" width="15.90625" bestFit="1" customWidth="1"/>
    <col min="13" max="13" width="13.7265625" bestFit="1" customWidth="1"/>
    <col min="14" max="14" width="14.7265625" bestFit="1" customWidth="1"/>
    <col min="15" max="15" width="25.6328125" bestFit="1" customWidth="1"/>
    <col min="16" max="18" width="12.453125" customWidth="1"/>
    <col min="19" max="19" width="15.1796875" bestFit="1" customWidth="1"/>
    <col min="20" max="20" width="12.26953125" customWidth="1"/>
    <col min="21" max="21" width="11.81640625" bestFit="1" customWidth="1"/>
    <col min="22" max="22" width="15.54296875" bestFit="1" customWidth="1"/>
    <col min="23" max="23" width="13.7265625" bestFit="1" customWidth="1"/>
    <col min="24" max="24" width="9.90625" bestFit="1" customWidth="1"/>
    <col min="25" max="25" width="16.7265625" bestFit="1" customWidth="1"/>
    <col min="26" max="26" width="13.26953125" bestFit="1" customWidth="1"/>
    <col min="27" max="27" width="11.6328125" bestFit="1" customWidth="1"/>
    <col min="28" max="28" width="12.90625" bestFit="1" customWidth="1"/>
    <col min="29" max="29" width="7.90625" bestFit="1" customWidth="1"/>
    <col min="30" max="30" width="14.453125" bestFit="1" customWidth="1"/>
    <col min="31" max="31" width="12.453125" bestFit="1" customWidth="1"/>
    <col min="32" max="32" width="15.1796875" bestFit="1" customWidth="1"/>
    <col min="33" max="33" width="14.81640625" bestFit="1" customWidth="1"/>
    <col min="34" max="34" width="16.1796875" bestFit="1" customWidth="1"/>
    <col min="35" max="35" width="13.6328125" customWidth="1"/>
    <col min="36" max="36" width="16.453125" bestFit="1" customWidth="1"/>
    <col min="37" max="37" width="22.08984375" bestFit="1" customWidth="1"/>
    <col min="38" max="38" width="14.90625" bestFit="1" customWidth="1"/>
    <col min="39" max="39" width="16" bestFit="1" customWidth="1"/>
  </cols>
  <sheetData>
    <row r="1" spans="1:39" x14ac:dyDescent="0.35">
      <c r="A1" t="s">
        <v>97</v>
      </c>
      <c r="B1" t="s">
        <v>188</v>
      </c>
      <c r="C1" t="s">
        <v>189</v>
      </c>
      <c r="D1" t="s">
        <v>197</v>
      </c>
      <c r="E1" t="s">
        <v>198</v>
      </c>
      <c r="F1" t="s">
        <v>98</v>
      </c>
      <c r="G1" t="s">
        <v>99</v>
      </c>
      <c r="H1" t="s">
        <v>105</v>
      </c>
      <c r="I1" t="s">
        <v>100</v>
      </c>
      <c r="J1" t="s">
        <v>103</v>
      </c>
      <c r="K1" t="s">
        <v>102</v>
      </c>
      <c r="L1" t="s">
        <v>101</v>
      </c>
      <c r="M1" t="s">
        <v>109</v>
      </c>
      <c r="N1" t="s">
        <v>104</v>
      </c>
      <c r="O1" t="s">
        <v>284</v>
      </c>
      <c r="P1" t="s">
        <v>208</v>
      </c>
      <c r="Q1" t="s">
        <v>209</v>
      </c>
      <c r="R1" t="s">
        <v>283</v>
      </c>
      <c r="S1" t="s">
        <v>114</v>
      </c>
      <c r="T1" t="s">
        <v>107</v>
      </c>
      <c r="U1" t="s">
        <v>286</v>
      </c>
      <c r="V1" t="s">
        <v>106</v>
      </c>
      <c r="W1" t="s">
        <v>108</v>
      </c>
      <c r="X1" t="s">
        <v>110</v>
      </c>
      <c r="Y1" t="s">
        <v>196</v>
      </c>
      <c r="Z1" t="s">
        <v>111</v>
      </c>
      <c r="AA1" t="s">
        <v>199</v>
      </c>
      <c r="AB1" t="s">
        <v>200</v>
      </c>
      <c r="AC1" t="s">
        <v>112</v>
      </c>
      <c r="AD1" t="s">
        <v>201</v>
      </c>
      <c r="AE1" t="s">
        <v>113</v>
      </c>
      <c r="AF1" t="s">
        <v>280</v>
      </c>
      <c r="AG1" t="s">
        <v>116</v>
      </c>
      <c r="AH1" t="s">
        <v>115</v>
      </c>
      <c r="AI1" t="s">
        <v>117</v>
      </c>
      <c r="AJ1" t="s">
        <v>118</v>
      </c>
      <c r="AK1" t="s">
        <v>210</v>
      </c>
      <c r="AL1" t="s">
        <v>281</v>
      </c>
      <c r="AM1" t="s">
        <v>282</v>
      </c>
    </row>
    <row r="2" spans="1:39" x14ac:dyDescent="0.35">
      <c r="A2" s="1">
        <f>INPUTS!B22</f>
        <v>10</v>
      </c>
      <c r="B2" s="1">
        <f>_xlfn.XLOOKUP(INPUTS!M3, DB_GD[Part], DB_GD[Rboot,int (Ω)])</f>
        <v>21.5</v>
      </c>
      <c r="C2" s="1">
        <f>INPUTS!N22</f>
        <v>5.0999999999999996</v>
      </c>
      <c r="D2" s="37">
        <f>_xlfn.XLOOKUP(INPUTS!M3, DB_GD[Part], DB_GD[Vfint,100mA (V)])</f>
        <v>2.15</v>
      </c>
      <c r="E2" s="1">
        <f>CAL_HB[[#This Row],[Rboot,ext (Ω)]]*0.1</f>
        <v>0.51</v>
      </c>
      <c r="F2">
        <f>_xlfn.XLOOKUP(INPUTS!M3, DB_GD[Part], DB_GD[Vhbr (V)])</f>
        <v>6</v>
      </c>
      <c r="G2" s="1">
        <f>_xlfn.XLOOKUP(INPUTS!M3, DB_GD[Part], DB_GD[Vhbh (V)])</f>
        <v>0.27</v>
      </c>
      <c r="H2" s="37">
        <f>A2-CAL_HB[[#This Row],[Vhbr (V)]]-G2-CAL_HB[[#This Row],[Vfext,100mA (V)]]</f>
        <v>3.2199999999999998</v>
      </c>
      <c r="I2" s="1">
        <f>INPUTS!E6</f>
        <v>41</v>
      </c>
      <c r="J2" s="1">
        <f>_xlfn.XLOOKUP(INPUTS!M3, DB_GD[Part], DB_GD[Ihb (mA)])</f>
        <v>0.7</v>
      </c>
      <c r="K2" s="1">
        <f>_xlfn.XLOOKUP(INPUTS!M3, DB_GD[Part], DB_GD[Ihbs (mA)])</f>
        <v>1.25</v>
      </c>
      <c r="L2" s="30">
        <f>INPUTS!N25</f>
        <v>1</v>
      </c>
      <c r="M2" s="1">
        <f>INPUTS!B5</f>
        <v>90</v>
      </c>
      <c r="N2" s="1">
        <f>_xlfn.XLOOKUP(INPUTS!A3, DB_limits[Name],DB_limits[Fmin (kHz)])</f>
        <v>24</v>
      </c>
      <c r="O2" s="30">
        <f>CAL_HB[[#This Row],[Qt,on (nC)]]-CAL_HB[[#This Row],[Qg (nC)]]</f>
        <v>113.54166666666666</v>
      </c>
      <c r="P2" s="30">
        <f>(   I2*10^-9 + J2/N2*10^-6 + (K2+L2)/N2*10^-6*M2/100   )/10^-9</f>
        <v>154.54166666666666</v>
      </c>
      <c r="Q2" s="30">
        <f>(   I2*10^-9 - J2/N2*10^-6 - (K2+L2)/N2*10^-6*(1-M2/100)   )/10^-9</f>
        <v>2.4583333333333419</v>
      </c>
      <c r="R2" s="30"/>
      <c r="S2" s="30">
        <f>P2/H2</f>
        <v>47.994306418219459</v>
      </c>
      <c r="T2" s="1">
        <f>INPUTS!N10</f>
        <v>1.25</v>
      </c>
      <c r="U2" s="30">
        <f>INPUTS!N15</f>
        <v>99.988138371290546</v>
      </c>
      <c r="V2" s="36">
        <f>U2/P2</f>
        <v>0.64699792960662528</v>
      </c>
      <c r="W2" s="1">
        <f>INPUTS!B6</f>
        <v>64</v>
      </c>
      <c r="X2" s="37">
        <f>1/W2/1000*(1-M2/100)*1000000</f>
        <v>1.5624999999999996</v>
      </c>
      <c r="Y2" s="36">
        <f>CAL_HB[[#This Row],[Toff (µs)]]-INPUTS!B18/1000</f>
        <v>1.0824999999999996</v>
      </c>
      <c r="Z2" s="37">
        <f>CAL_HB[[#This Row],[Toff,charge (µs)]]</f>
        <v>1.0824999999999996</v>
      </c>
      <c r="AA2" s="37">
        <f>A2-V2-CAL_HB[[#This Row],[Vfext,100mA (V)]]</f>
        <v>8.8430020703933749</v>
      </c>
      <c r="AB2" s="37">
        <f>A2-CAL_HB[[#This Row],[Vfext,100mA (V)]]</f>
        <v>9.49</v>
      </c>
      <c r="AC2" s="37">
        <f>IF(CAL_HB[[#This Row],[Rboot,ext (Ω)]]&gt;0, 1/(1/CAL_HB[[#This Row],[Rboot,int (Ω)]]+1/CAL_HB[[#This Row],[Rboot,ext (Ω)]]), CAL_HB[[#This Row],[Rboot,int (Ω)]])</f>
        <v>4.1221804511278188</v>
      </c>
      <c r="AD2" s="37">
        <f>(AA2-AB2)*EXP(-Z2*10^-6/CAL_HB[[#This Row],[Rf (Ω)]]/(U2*10^-9))+AB2</f>
        <v>9.4431948062164146</v>
      </c>
      <c r="AE2" s="36">
        <f>IF(CAL_HB[[#This Row],[Rboot,ext (Ω)]]&gt;0,CAL_HB[[#This Row],[Vdd (V)]]/CAL_HB[[#This Row],[Rboot,ext (Ω)]],0)</f>
        <v>1.9607843137254903</v>
      </c>
      <c r="AF2" s="37">
        <f>IF(CAL_HB[[#This Row],[Imaxext (A)]]&gt;0,CAL_HB[[#This Row],[Rf (Ω)]]*CAL_HB[[#This Row],[Cbootmin,safe (nF)]]*10^-3,0)</f>
        <v>0.41216914933879722</v>
      </c>
      <c r="AG2" s="37">
        <f>INPUTS!B6</f>
        <v>64</v>
      </c>
      <c r="AH2" s="37">
        <f>(I2*10^-9+J2/CAL_HB[[#This Row],[Max Fsw (kHz)]]*10^-6+(K2+L2)/CAL_HB[[#This Row],[Max Fsw (kHz)]]*10^-6*M2/100)/10^-9</f>
        <v>83.578125000000014</v>
      </c>
      <c r="AI2" s="37">
        <v>1</v>
      </c>
      <c r="AJ2" s="37">
        <f>CAL_HB[[#This Row],[Qfreq_max (nC)]]*CAL_HB[[#This Row],[Max Fsw (kHz)]]*0.001</f>
        <v>5.3490000000000011</v>
      </c>
      <c r="AK2" s="50">
        <f>INPUTS!N34*INPUTS!N21/(INPUTS!N21+INPUTS!N5)</f>
        <v>0.14079364</v>
      </c>
      <c r="AL2" s="37">
        <f>INPUTS!N15*((INPUTS!N5+INPUTS!N6)/2+INPUTS!N21)/1000*INPUTS!N28</f>
        <v>3.7768298758040761</v>
      </c>
      <c r="AM2" s="37">
        <f>CAL_HB[[#This Row],[Cbootmin,safe (nF)]]*(1/(1/INPUTS!N21+1/INPUTS!N20) + (INPUTS!N8+INPUTS!N7)/2)/1000</f>
        <v>0.1924771663647343</v>
      </c>
    </row>
  </sheetData>
  <phoneticPr fontId="5" type="noConversion"/>
  <pageMargins left="0.7" right="0.7" top="0.75" bottom="0.75" header="0.3" footer="0.3"/>
  <pageSetup paperSize="9" orientation="portrait" r:id="rId1"/>
  <cellWatches>
    <cellWatch r="AJ2"/>
  </cellWatche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>
    <tabColor theme="1" tint="0.499984740745262"/>
  </sheetPr>
  <dimension ref="A1:L20"/>
  <sheetViews>
    <sheetView zoomScale="115" zoomScaleNormal="115" workbookViewId="0">
      <selection activeCell="L17" sqref="L17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0.1796875" bestFit="1" customWidth="1"/>
    <col min="4" max="4" width="13.81640625" bestFit="1" customWidth="1"/>
    <col min="5" max="5" width="10.1796875" bestFit="1" customWidth="1"/>
    <col min="6" max="7" width="9.6328125" bestFit="1" customWidth="1"/>
  </cols>
  <sheetData>
    <row r="1" spans="1:12" x14ac:dyDescent="0.35">
      <c r="A1" t="s">
        <v>133</v>
      </c>
      <c r="B1" t="s">
        <v>98</v>
      </c>
      <c r="C1" t="s">
        <v>99</v>
      </c>
      <c r="D1" t="s">
        <v>180</v>
      </c>
      <c r="E1" t="s">
        <v>103</v>
      </c>
      <c r="F1" t="s">
        <v>102</v>
      </c>
      <c r="G1" t="s">
        <v>181</v>
      </c>
      <c r="H1" t="s">
        <v>204</v>
      </c>
      <c r="I1" t="s">
        <v>205</v>
      </c>
      <c r="J1" t="s">
        <v>206</v>
      </c>
      <c r="K1" t="s">
        <v>207</v>
      </c>
      <c r="L1" t="s">
        <v>197</v>
      </c>
    </row>
    <row r="2" spans="1:12" x14ac:dyDescent="0.35">
      <c r="A2" t="s">
        <v>187</v>
      </c>
      <c r="B2">
        <v>6</v>
      </c>
      <c r="C2">
        <v>0.27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70"/>
      <c r="E7" s="70"/>
    </row>
    <row r="8" spans="1:12" x14ac:dyDescent="0.35">
      <c r="D8" s="1"/>
      <c r="E8" s="1"/>
    </row>
    <row r="17" spans="8:8" x14ac:dyDescent="0.35">
      <c r="H17" s="38"/>
    </row>
    <row r="18" spans="8:8" x14ac:dyDescent="0.35">
      <c r="H18" s="38"/>
    </row>
    <row r="19" spans="8:8" x14ac:dyDescent="0.35">
      <c r="H19" s="38"/>
    </row>
    <row r="20" spans="8:8" x14ac:dyDescent="0.35">
      <c r="H20" s="38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>
    <tabColor theme="1" tint="0.499984740745262"/>
  </sheetPr>
  <dimension ref="A1:Q18"/>
  <sheetViews>
    <sheetView workbookViewId="0">
      <selection activeCell="E26" sqref="E26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7" width="14.26953125" bestFit="1" customWidth="1"/>
  </cols>
  <sheetData>
    <row r="1" spans="1:17" x14ac:dyDescent="0.35">
      <c r="A1" t="s">
        <v>133</v>
      </c>
      <c r="B1" t="s">
        <v>121</v>
      </c>
      <c r="C1" t="s">
        <v>236</v>
      </c>
      <c r="D1" t="s">
        <v>126</v>
      </c>
      <c r="E1" t="s">
        <v>127</v>
      </c>
      <c r="F1" t="s">
        <v>250</v>
      </c>
      <c r="G1" t="s">
        <v>256</v>
      </c>
      <c r="H1" t="s">
        <v>277</v>
      </c>
      <c r="I1" t="s">
        <v>242</v>
      </c>
      <c r="J1" t="s">
        <v>251</v>
      </c>
      <c r="K1" t="s">
        <v>243</v>
      </c>
      <c r="L1" t="s">
        <v>252</v>
      </c>
      <c r="M1" t="s">
        <v>239</v>
      </c>
      <c r="N1" t="s">
        <v>128</v>
      </c>
      <c r="O1" t="s">
        <v>129</v>
      </c>
      <c r="P1" t="s">
        <v>244</v>
      </c>
      <c r="Q1" t="s">
        <v>226</v>
      </c>
    </row>
    <row r="2" spans="1:17" x14ac:dyDescent="0.35">
      <c r="A2" t="s">
        <v>123</v>
      </c>
      <c r="B2" t="s">
        <v>122</v>
      </c>
      <c r="C2">
        <v>60</v>
      </c>
      <c r="D2">
        <v>1.9</v>
      </c>
      <c r="E2">
        <v>2.4</v>
      </c>
      <c r="F2">
        <v>79.5</v>
      </c>
      <c r="G2" s="76" t="s">
        <v>247</v>
      </c>
      <c r="H2" s="76" t="s">
        <v>247</v>
      </c>
      <c r="I2" s="40">
        <v>120</v>
      </c>
      <c r="J2" s="40">
        <v>120</v>
      </c>
      <c r="K2" s="76">
        <v>32</v>
      </c>
      <c r="L2" s="76">
        <v>20</v>
      </c>
      <c r="M2">
        <v>128</v>
      </c>
      <c r="N2">
        <v>35.6</v>
      </c>
      <c r="O2">
        <v>42.2</v>
      </c>
      <c r="P2" t="s">
        <v>246</v>
      </c>
      <c r="Q2" t="s">
        <v>131</v>
      </c>
    </row>
    <row r="3" spans="1:17" x14ac:dyDescent="0.35">
      <c r="A3" t="s">
        <v>124</v>
      </c>
      <c r="B3" t="s">
        <v>125</v>
      </c>
      <c r="C3">
        <v>60</v>
      </c>
      <c r="D3">
        <v>0.93</v>
      </c>
      <c r="E3">
        <v>1.2</v>
      </c>
      <c r="F3">
        <v>120</v>
      </c>
      <c r="G3" s="76" t="s">
        <v>247</v>
      </c>
      <c r="H3" s="76" t="s">
        <v>247</v>
      </c>
      <c r="I3">
        <v>287</v>
      </c>
      <c r="J3">
        <v>200</v>
      </c>
      <c r="K3" s="76">
        <v>40</v>
      </c>
      <c r="L3" s="76">
        <v>28</v>
      </c>
      <c r="M3">
        <v>900</v>
      </c>
      <c r="N3">
        <v>79.099999999999994</v>
      </c>
      <c r="O3">
        <v>81.3</v>
      </c>
      <c r="P3" t="s">
        <v>246</v>
      </c>
      <c r="Q3" t="s">
        <v>132</v>
      </c>
    </row>
    <row r="4" spans="1:17" x14ac:dyDescent="0.35">
      <c r="A4" t="s">
        <v>237</v>
      </c>
      <c r="B4" t="s">
        <v>238</v>
      </c>
      <c r="C4">
        <v>60</v>
      </c>
      <c r="D4">
        <v>3.5</v>
      </c>
      <c r="E4">
        <v>4.8</v>
      </c>
      <c r="F4">
        <v>29</v>
      </c>
      <c r="G4" s="76" t="s">
        <v>247</v>
      </c>
      <c r="H4" s="76" t="s">
        <v>247</v>
      </c>
      <c r="I4">
        <v>72</v>
      </c>
      <c r="J4">
        <v>105</v>
      </c>
      <c r="K4" s="76" t="s">
        <v>258</v>
      </c>
      <c r="L4" s="76" t="s">
        <v>257</v>
      </c>
      <c r="M4">
        <v>200</v>
      </c>
      <c r="N4">
        <v>4</v>
      </c>
      <c r="O4">
        <v>5.0999999999999996</v>
      </c>
      <c r="P4" t="s">
        <v>245</v>
      </c>
      <c r="Q4" t="s">
        <v>131</v>
      </c>
    </row>
    <row r="5" spans="1:17" x14ac:dyDescent="0.35">
      <c r="A5" t="s">
        <v>248</v>
      </c>
      <c r="B5" t="s">
        <v>249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76" t="s">
        <v>247</v>
      </c>
      <c r="H5" s="76" t="s">
        <v>247</v>
      </c>
      <c r="I5">
        <v>80.3</v>
      </c>
      <c r="J5">
        <v>64.2</v>
      </c>
      <c r="K5" s="76">
        <v>23.8</v>
      </c>
      <c r="L5" s="76">
        <v>19</v>
      </c>
      <c r="M5">
        <v>150</v>
      </c>
      <c r="N5">
        <v>6</v>
      </c>
      <c r="O5">
        <v>6</v>
      </c>
      <c r="P5" t="s">
        <v>246</v>
      </c>
      <c r="Q5" t="s">
        <v>132</v>
      </c>
    </row>
    <row r="6" spans="1:17" x14ac:dyDescent="0.35">
      <c r="A6" t="s">
        <v>254</v>
      </c>
      <c r="B6" t="s">
        <v>253</v>
      </c>
      <c r="C6">
        <v>60</v>
      </c>
      <c r="D6">
        <v>2.2999999999999998</v>
      </c>
      <c r="E6">
        <v>2.7</v>
      </c>
      <c r="F6">
        <v>43</v>
      </c>
      <c r="G6" s="76" t="s">
        <v>247</v>
      </c>
      <c r="H6" s="76" t="s">
        <v>247</v>
      </c>
      <c r="I6">
        <v>134</v>
      </c>
      <c r="J6">
        <v>84</v>
      </c>
      <c r="K6" s="76">
        <v>23</v>
      </c>
      <c r="L6" s="76" t="s">
        <v>260</v>
      </c>
      <c r="M6">
        <v>536</v>
      </c>
      <c r="N6">
        <v>4.8</v>
      </c>
      <c r="O6">
        <v>5.4</v>
      </c>
      <c r="P6" t="s">
        <v>246</v>
      </c>
      <c r="Q6" t="s">
        <v>255</v>
      </c>
    </row>
    <row r="7" spans="1:17" x14ac:dyDescent="0.35">
      <c r="A7" t="s">
        <v>259</v>
      </c>
      <c r="B7" t="s">
        <v>253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76">
        <v>31</v>
      </c>
      <c r="L7" s="76" t="s">
        <v>261</v>
      </c>
      <c r="M7">
        <v>936</v>
      </c>
      <c r="N7">
        <v>9</v>
      </c>
      <c r="O7">
        <v>9</v>
      </c>
      <c r="P7" t="s">
        <v>246</v>
      </c>
      <c r="Q7" t="s">
        <v>132</v>
      </c>
    </row>
    <row r="8" spans="1:17" x14ac:dyDescent="0.35">
      <c r="A8" t="s">
        <v>275</v>
      </c>
      <c r="B8" t="s">
        <v>276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76" t="s">
        <v>247</v>
      </c>
      <c r="I8">
        <v>100</v>
      </c>
      <c r="J8">
        <v>100</v>
      </c>
      <c r="K8" s="76">
        <v>29</v>
      </c>
      <c r="L8" s="76" t="s">
        <v>261</v>
      </c>
      <c r="M8">
        <v>400</v>
      </c>
      <c r="N8">
        <v>9</v>
      </c>
      <c r="O8">
        <v>3</v>
      </c>
      <c r="P8" t="s">
        <v>246</v>
      </c>
      <c r="Q8" t="s">
        <v>132</v>
      </c>
    </row>
    <row r="9" spans="1:17" x14ac:dyDescent="0.35">
      <c r="H9" s="76"/>
      <c r="K9" s="76"/>
      <c r="L9" s="76"/>
    </row>
    <row r="10" spans="1:17" x14ac:dyDescent="0.35">
      <c r="K10" s="76"/>
      <c r="L10" s="76"/>
    </row>
    <row r="11" spans="1:17" x14ac:dyDescent="0.35">
      <c r="K11" s="76"/>
      <c r="L11" s="76"/>
      <c r="N11" t="s">
        <v>278</v>
      </c>
      <c r="O11" t="s">
        <v>278</v>
      </c>
    </row>
    <row r="12" spans="1:17" x14ac:dyDescent="0.35">
      <c r="K12" s="76"/>
      <c r="L12" s="76"/>
    </row>
    <row r="13" spans="1:17" x14ac:dyDescent="0.35">
      <c r="K13" s="76"/>
      <c r="L13" s="76"/>
    </row>
    <row r="14" spans="1:17" x14ac:dyDescent="0.35">
      <c r="K14" s="76"/>
      <c r="L14" s="76"/>
    </row>
    <row r="15" spans="1:17" x14ac:dyDescent="0.35">
      <c r="K15" s="76"/>
      <c r="L15" s="76"/>
    </row>
    <row r="16" spans="1:17" x14ac:dyDescent="0.35">
      <c r="K16" s="76"/>
      <c r="L16" s="76"/>
    </row>
    <row r="17" spans="11:12" x14ac:dyDescent="0.35">
      <c r="K17" s="76"/>
      <c r="L17" s="76"/>
    </row>
    <row r="18" spans="11:12" x14ac:dyDescent="0.35">
      <c r="K18" s="76"/>
      <c r="L18" s="7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>
    <tabColor theme="1" tint="0.499984740745262"/>
  </sheetPr>
  <dimension ref="A1:E2"/>
  <sheetViews>
    <sheetView workbookViewId="0">
      <selection activeCell="C2" sqref="C2"/>
    </sheetView>
  </sheetViews>
  <sheetFormatPr defaultRowHeight="14.5" x14ac:dyDescent="0.35"/>
  <cols>
    <col min="1" max="1" width="18" customWidth="1"/>
    <col min="2" max="2" width="16.81640625" bestFit="1" customWidth="1"/>
    <col min="3" max="3" width="15.6328125" bestFit="1" customWidth="1"/>
    <col min="4" max="4" width="18.453125" customWidth="1"/>
    <col min="5" max="5" width="17.90625" bestFit="1" customWidth="1"/>
  </cols>
  <sheetData>
    <row r="1" spans="1:5" x14ac:dyDescent="0.35">
      <c r="A1" t="s">
        <v>120</v>
      </c>
      <c r="B1" t="s">
        <v>159</v>
      </c>
      <c r="C1" t="s">
        <v>167</v>
      </c>
      <c r="D1" t="s">
        <v>152</v>
      </c>
      <c r="E1" t="s">
        <v>153</v>
      </c>
    </row>
    <row r="2" spans="1:5" x14ac:dyDescent="0.35">
      <c r="A2" t="s">
        <v>151</v>
      </c>
      <c r="B2">
        <v>3.3</v>
      </c>
      <c r="C2">
        <v>15</v>
      </c>
      <c r="D2">
        <v>60</v>
      </c>
      <c r="E2">
        <f>DB_ADC[[#This Row],[Vinadc = Vdd (V)]]+0.3</f>
        <v>3.5999999999999996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>
    <tabColor theme="1" tint="0.499984740745262"/>
  </sheetPr>
  <dimension ref="A1:W7"/>
  <sheetViews>
    <sheetView workbookViewId="0">
      <selection activeCell="D7" sqref="D7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</cols>
  <sheetData>
    <row r="1" spans="1:23" x14ac:dyDescent="0.35">
      <c r="A1" t="s">
        <v>120</v>
      </c>
      <c r="B1" t="s">
        <v>145</v>
      </c>
      <c r="C1" t="s">
        <v>138</v>
      </c>
      <c r="D1" t="s">
        <v>108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262</v>
      </c>
      <c r="L1" t="s">
        <v>263</v>
      </c>
      <c r="M1" t="s">
        <v>268</v>
      </c>
      <c r="N1" t="s">
        <v>270</v>
      </c>
      <c r="O1" t="s">
        <v>267</v>
      </c>
      <c r="P1" t="s">
        <v>269</v>
      </c>
      <c r="Q1" t="s">
        <v>216</v>
      </c>
      <c r="R1" t="s">
        <v>221</v>
      </c>
      <c r="S1" t="s">
        <v>217</v>
      </c>
      <c r="T1" t="s">
        <v>222</v>
      </c>
      <c r="U1" t="s">
        <v>218</v>
      </c>
      <c r="V1" t="s">
        <v>223</v>
      </c>
      <c r="W1" t="s">
        <v>224</v>
      </c>
    </row>
    <row r="2" spans="1:23" x14ac:dyDescent="0.35">
      <c r="A2" t="s">
        <v>136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>H2*F2</f>
        <v>25.200000000000003</v>
      </c>
      <c r="L2">
        <f>J2*G2</f>
        <v>14</v>
      </c>
      <c r="M2">
        <v>35</v>
      </c>
      <c r="N2">
        <v>40</v>
      </c>
      <c r="O2">
        <v>50</v>
      </c>
      <c r="P2">
        <v>30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3" spans="1:23" x14ac:dyDescent="0.35">
      <c r="A3" t="s">
        <v>266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>H3*F3</f>
        <v>25.200000000000003</v>
      </c>
      <c r="L3">
        <f>J3*G3</f>
        <v>14</v>
      </c>
      <c r="M3">
        <v>35</v>
      </c>
      <c r="N3">
        <v>40</v>
      </c>
      <c r="O3">
        <v>50</v>
      </c>
      <c r="P3">
        <v>30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4" spans="1:23" x14ac:dyDescent="0.35">
      <c r="A4" t="s">
        <v>264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>H4*F4</f>
        <v>25.200000000000003</v>
      </c>
      <c r="L4">
        <f>J4*G4</f>
        <v>14</v>
      </c>
      <c r="M4">
        <v>35</v>
      </c>
      <c r="N4">
        <v>40</v>
      </c>
      <c r="O4">
        <v>50</v>
      </c>
      <c r="P4">
        <v>30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  <row r="5" spans="1:23" x14ac:dyDescent="0.35">
      <c r="A5" t="s">
        <v>265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>H5*F5</f>
        <v>25.200000000000003</v>
      </c>
      <c r="L5">
        <f>J5*G5</f>
        <v>14</v>
      </c>
      <c r="M5">
        <v>35</v>
      </c>
      <c r="N5">
        <v>40</v>
      </c>
      <c r="O5">
        <v>50</v>
      </c>
      <c r="P5">
        <v>30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6" spans="1:23" x14ac:dyDescent="0.35">
      <c r="A6" t="s">
        <v>137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>H6*F6</f>
        <v>25.200000000000003</v>
      </c>
      <c r="L6">
        <f>J6*G6</f>
        <v>13</v>
      </c>
      <c r="M6">
        <v>35</v>
      </c>
      <c r="N6">
        <v>40</v>
      </c>
      <c r="O6">
        <v>50</v>
      </c>
      <c r="P6">
        <v>30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</row>
    <row r="7" spans="1:23" x14ac:dyDescent="0.35">
      <c r="A7" t="s">
        <v>279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>H7*F7</f>
        <v>25.200000000000003</v>
      </c>
      <c r="L7">
        <f>J7*G7</f>
        <v>14</v>
      </c>
      <c r="M7">
        <v>35</v>
      </c>
      <c r="N7">
        <v>40</v>
      </c>
      <c r="O7">
        <v>50</v>
      </c>
      <c r="P7">
        <v>30</v>
      </c>
      <c r="Q7">
        <v>12.5</v>
      </c>
      <c r="R7">
        <v>85</v>
      </c>
      <c r="S7">
        <v>25</v>
      </c>
      <c r="T7" s="95">
        <f>100-DB_limits[[#This Row],[ToF Iph typ (%)]]-DB_limits[[#This Row],[ToF Iph spike (%)]]</f>
        <v>14</v>
      </c>
      <c r="U7">
        <v>50</v>
      </c>
      <c r="V7">
        <v>1</v>
      </c>
      <c r="W7" s="95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C053-1126-494F-897D-45B4739E50B2}">
  <sheetPr>
    <tabColor theme="1" tint="0.499984740745262"/>
  </sheetPr>
  <dimension ref="A1:B2"/>
  <sheetViews>
    <sheetView workbookViewId="0">
      <selection activeCell="G9" sqref="G9"/>
    </sheetView>
  </sheetViews>
  <sheetFormatPr defaultRowHeight="14.5" x14ac:dyDescent="0.35"/>
  <cols>
    <col min="1" max="1" width="16.08984375" customWidth="1"/>
    <col min="2" max="2" width="17" bestFit="1" customWidth="1"/>
  </cols>
  <sheetData>
    <row r="1" spans="1:2" x14ac:dyDescent="0.35">
      <c r="A1" t="s">
        <v>161</v>
      </c>
      <c r="B1" t="s">
        <v>163</v>
      </c>
    </row>
    <row r="2" spans="1:2" x14ac:dyDescent="0.35">
      <c r="A2">
        <v>0.2</v>
      </c>
      <c r="B2">
        <v>2.4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INPUTS</vt:lpstr>
      <vt:lpstr>CAL_VSENSE</vt:lpstr>
      <vt:lpstr>CAL_ISENSE</vt:lpstr>
      <vt:lpstr>CAL_HB</vt:lpstr>
      <vt:lpstr>DB_GD</vt:lpstr>
      <vt:lpstr>DB_MOSFETS</vt:lpstr>
      <vt:lpstr>DB_ADC</vt:lpstr>
      <vt:lpstr>DB_LIMITS</vt:lpstr>
      <vt:lpstr>DB_TRACE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2026-02-15T12:55:45Z</dcterms:modified>
</cp:coreProperties>
</file>