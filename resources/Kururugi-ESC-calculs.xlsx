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on\Desktop\Kururugi-ESC-Dev-Board\resources\"/>
    </mc:Choice>
  </mc:AlternateContent>
  <xr:revisionPtr revIDLastSave="0" documentId="13_ncr:1_{3B8DDC3F-6373-4753-9F00-32AF70384FF8}" xr6:coauthVersionLast="47" xr6:coauthVersionMax="47" xr10:uidLastSave="{00000000-0000-0000-0000-000000000000}"/>
  <bookViews>
    <workbookView xWindow="-110" yWindow="-110" windowWidth="25820" windowHeight="15500" xr2:uid="{A7311F5B-F8BB-4208-8795-7C9379CFEF1C}"/>
  </bookViews>
  <sheets>
    <sheet name="Vsensing computation" sheetId="1" r:id="rId1"/>
    <sheet name="Isensing compu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R7" i="1"/>
  <c r="N24" i="1"/>
  <c r="N14" i="1"/>
  <c r="N15" i="1" s="1"/>
  <c r="C6" i="2"/>
  <c r="D6" i="2"/>
  <c r="E6" i="2"/>
  <c r="F6" i="2"/>
  <c r="G6" i="2" s="1"/>
  <c r="C8" i="2"/>
  <c r="B4" i="2"/>
  <c r="B5" i="2" s="1"/>
  <c r="B7" i="2" s="1"/>
  <c r="B8" i="2" s="1"/>
  <c r="J11" i="2"/>
  <c r="J12" i="2" s="1"/>
  <c r="D35" i="1"/>
  <c r="I35" i="1"/>
  <c r="K35" i="1" s="1"/>
  <c r="N13" i="1"/>
  <c r="N12" i="1"/>
  <c r="R3" i="1"/>
  <c r="R4" i="1" s="1"/>
  <c r="N5" i="1"/>
  <c r="C8" i="1" s="1"/>
  <c r="I8" i="1" s="1"/>
  <c r="J8" i="1" s="1"/>
  <c r="N22" i="1"/>
  <c r="R6" i="1" s="1"/>
  <c r="G7" i="1" l="1"/>
  <c r="R8" i="1"/>
  <c r="R5" i="1"/>
  <c r="N25" i="1"/>
  <c r="N26" i="1" s="1"/>
  <c r="D8" i="1"/>
  <c r="G35" i="1"/>
  <c r="C15" i="1"/>
  <c r="D15" i="1" s="1"/>
  <c r="C14" i="1"/>
  <c r="D14" i="1" s="1"/>
  <c r="C22" i="1"/>
  <c r="D22" i="1" s="1"/>
  <c r="C21" i="1"/>
  <c r="C19" i="1"/>
  <c r="C18" i="1"/>
  <c r="C17" i="1"/>
  <c r="D17" i="1" s="1"/>
  <c r="C20" i="1"/>
  <c r="D20" i="1" s="1"/>
  <c r="C16" i="1"/>
  <c r="D16" i="1" s="1"/>
  <c r="C5" i="2"/>
  <c r="C4" i="2"/>
  <c r="F35" i="1"/>
  <c r="H35" i="1"/>
  <c r="D5" i="2"/>
  <c r="D7" i="2"/>
  <c r="D4" i="2"/>
  <c r="E4" i="2" s="1"/>
  <c r="D8" i="2"/>
  <c r="B9" i="2"/>
  <c r="C9" i="2" s="1"/>
  <c r="E35" i="1"/>
  <c r="J35" i="1"/>
  <c r="K8" i="1"/>
  <c r="C33" i="1"/>
  <c r="D33" i="1" s="1"/>
  <c r="C13" i="1"/>
  <c r="D13" i="1" s="1"/>
  <c r="C10" i="1"/>
  <c r="D10" i="1" s="1"/>
  <c r="C9" i="1"/>
  <c r="D9" i="1" s="1"/>
  <c r="C7" i="1"/>
  <c r="D7" i="1" s="1"/>
  <c r="C5" i="1"/>
  <c r="D5" i="1" s="1"/>
  <c r="C6" i="1"/>
  <c r="D6" i="1" s="1"/>
  <c r="C12" i="1"/>
  <c r="D12" i="1" s="1"/>
  <c r="C11" i="1"/>
  <c r="D11" i="1" s="1"/>
  <c r="C4" i="1"/>
  <c r="C31" i="1"/>
  <c r="D31" i="1" s="1"/>
  <c r="C32" i="1"/>
  <c r="D32" i="1" s="1"/>
  <c r="C29" i="1"/>
  <c r="D29" i="1" s="1"/>
  <c r="C30" i="1"/>
  <c r="D30" i="1" s="1"/>
  <c r="C24" i="1"/>
  <c r="D24" i="1" s="1"/>
  <c r="C28" i="1"/>
  <c r="D28" i="1" s="1"/>
  <c r="C27" i="1"/>
  <c r="D27" i="1" s="1"/>
  <c r="C26" i="1"/>
  <c r="D26" i="1" s="1"/>
  <c r="C25" i="1"/>
  <c r="D25" i="1" s="1"/>
  <c r="C23" i="1"/>
  <c r="D23" i="1" s="1"/>
  <c r="N27" i="1" l="1"/>
  <c r="D21" i="1"/>
  <c r="G21" i="1" s="1"/>
  <c r="D18" i="1"/>
  <c r="H18" i="1" s="1"/>
  <c r="I19" i="1"/>
  <c r="K19" i="1" s="1"/>
  <c r="D19" i="1"/>
  <c r="H19" i="1" s="1"/>
  <c r="I18" i="1"/>
  <c r="J18" i="1" s="1"/>
  <c r="I4" i="1"/>
  <c r="K4" i="1" s="1"/>
  <c r="D4" i="1"/>
  <c r="I22" i="1"/>
  <c r="I21" i="1"/>
  <c r="J21" i="1" s="1"/>
  <c r="I14" i="1"/>
  <c r="I15" i="1"/>
  <c r="I17" i="1"/>
  <c r="I16" i="1"/>
  <c r="G8" i="1"/>
  <c r="H8" i="1"/>
  <c r="I20" i="1"/>
  <c r="I26" i="1"/>
  <c r="K26" i="1" s="1"/>
  <c r="I28" i="1"/>
  <c r="J28" i="1" s="1"/>
  <c r="I29" i="1"/>
  <c r="J29" i="1" s="1"/>
  <c r="F8" i="1"/>
  <c r="I27" i="1"/>
  <c r="J27" i="1" s="1"/>
  <c r="I24" i="1"/>
  <c r="J24" i="1" s="1"/>
  <c r="I31" i="1"/>
  <c r="J31" i="1" s="1"/>
  <c r="I32" i="1"/>
  <c r="K32" i="1" s="1"/>
  <c r="I11" i="1"/>
  <c r="K11" i="1" s="1"/>
  <c r="I30" i="1"/>
  <c r="K30" i="1" s="1"/>
  <c r="I12" i="1"/>
  <c r="J12" i="1" s="1"/>
  <c r="I6" i="1"/>
  <c r="J6" i="1" s="1"/>
  <c r="I5" i="1"/>
  <c r="K5" i="1" s="1"/>
  <c r="I7" i="1"/>
  <c r="K7" i="1" s="1"/>
  <c r="I23" i="1"/>
  <c r="K23" i="1" s="1"/>
  <c r="I9" i="1"/>
  <c r="J9" i="1" s="1"/>
  <c r="I25" i="1"/>
  <c r="K25" i="1" s="1"/>
  <c r="I10" i="1"/>
  <c r="J10" i="1" s="1"/>
  <c r="E7" i="2"/>
  <c r="F7" i="2"/>
  <c r="F8" i="2"/>
  <c r="G8" i="2" s="1"/>
  <c r="E8" i="2"/>
  <c r="F4" i="2"/>
  <c r="G4" i="2" s="1"/>
  <c r="F5" i="2"/>
  <c r="G5" i="2" s="1"/>
  <c r="E5" i="2"/>
  <c r="D9" i="2"/>
  <c r="B10" i="2"/>
  <c r="C10" i="2" s="1"/>
  <c r="I33" i="1"/>
  <c r="K33" i="1" s="1"/>
  <c r="E8" i="1"/>
  <c r="I13" i="1"/>
  <c r="K18" i="1" l="1"/>
  <c r="G18" i="1"/>
  <c r="F21" i="1"/>
  <c r="E21" i="1"/>
  <c r="F18" i="1"/>
  <c r="J19" i="1"/>
  <c r="J5" i="1"/>
  <c r="K21" i="1"/>
  <c r="E18" i="1"/>
  <c r="H21" i="1"/>
  <c r="F19" i="1"/>
  <c r="E19" i="1"/>
  <c r="F15" i="1"/>
  <c r="H15" i="1"/>
  <c r="E15" i="1"/>
  <c r="G15" i="1"/>
  <c r="G14" i="1"/>
  <c r="E14" i="1"/>
  <c r="F14" i="1"/>
  <c r="H14" i="1"/>
  <c r="G19" i="1"/>
  <c r="J22" i="1"/>
  <c r="K22" i="1"/>
  <c r="J15" i="1"/>
  <c r="K15" i="1"/>
  <c r="J14" i="1"/>
  <c r="K14" i="1"/>
  <c r="E22" i="1"/>
  <c r="F22" i="1"/>
  <c r="H22" i="1"/>
  <c r="G22" i="1"/>
  <c r="G17" i="1"/>
  <c r="H17" i="1"/>
  <c r="E17" i="1"/>
  <c r="F17" i="1"/>
  <c r="J17" i="1"/>
  <c r="K17" i="1"/>
  <c r="K28" i="1"/>
  <c r="F27" i="1"/>
  <c r="G27" i="1"/>
  <c r="H27" i="1"/>
  <c r="F26" i="1"/>
  <c r="G26" i="1"/>
  <c r="H26" i="1"/>
  <c r="H20" i="1"/>
  <c r="G20" i="1"/>
  <c r="E20" i="1"/>
  <c r="F20" i="1"/>
  <c r="G5" i="1"/>
  <c r="F5" i="1"/>
  <c r="H5" i="1"/>
  <c r="F33" i="1"/>
  <c r="G33" i="1"/>
  <c r="H33" i="1"/>
  <c r="F24" i="1"/>
  <c r="H24" i="1"/>
  <c r="G24" i="1"/>
  <c r="F10" i="1"/>
  <c r="H10" i="1"/>
  <c r="G10" i="1"/>
  <c r="F25" i="1"/>
  <c r="G25" i="1"/>
  <c r="H25" i="1"/>
  <c r="F28" i="1"/>
  <c r="H28" i="1"/>
  <c r="G28" i="1"/>
  <c r="F12" i="1"/>
  <c r="H12" i="1"/>
  <c r="G12" i="1"/>
  <c r="F6" i="1"/>
  <c r="G6" i="1"/>
  <c r="H6" i="1"/>
  <c r="F7" i="1"/>
  <c r="H7" i="1"/>
  <c r="F31" i="1"/>
  <c r="H31" i="1"/>
  <c r="G31" i="1"/>
  <c r="F32" i="1"/>
  <c r="G32" i="1"/>
  <c r="H32" i="1"/>
  <c r="F13" i="1"/>
  <c r="H13" i="1"/>
  <c r="G13" i="1"/>
  <c r="K16" i="1"/>
  <c r="J16" i="1"/>
  <c r="F30" i="1"/>
  <c r="H30" i="1"/>
  <c r="G30" i="1"/>
  <c r="F23" i="1"/>
  <c r="H23" i="1"/>
  <c r="G23" i="1"/>
  <c r="J20" i="1"/>
  <c r="K20" i="1"/>
  <c r="F11" i="1"/>
  <c r="H11" i="1"/>
  <c r="G11" i="1"/>
  <c r="F4" i="1"/>
  <c r="H4" i="1"/>
  <c r="G4" i="1"/>
  <c r="F29" i="1"/>
  <c r="G29" i="1"/>
  <c r="H29" i="1"/>
  <c r="F9" i="1"/>
  <c r="H9" i="1"/>
  <c r="G9" i="1"/>
  <c r="G16" i="1"/>
  <c r="H16" i="1"/>
  <c r="F16" i="1"/>
  <c r="E16" i="1"/>
  <c r="J26" i="1"/>
  <c r="J4" i="1"/>
  <c r="E33" i="1"/>
  <c r="J11" i="1"/>
  <c r="J23" i="1"/>
  <c r="K10" i="1"/>
  <c r="K29" i="1"/>
  <c r="K27" i="1"/>
  <c r="K24" i="1"/>
  <c r="J25" i="1"/>
  <c r="K31" i="1"/>
  <c r="K6" i="1"/>
  <c r="J32" i="1"/>
  <c r="J7" i="1"/>
  <c r="K12" i="1"/>
  <c r="K9" i="1"/>
  <c r="J30" i="1"/>
  <c r="G7" i="2"/>
  <c r="E9" i="2"/>
  <c r="F9" i="2"/>
  <c r="G9" i="2" s="1"/>
  <c r="B11" i="2"/>
  <c r="C11" i="2" s="1"/>
  <c r="D10" i="2"/>
  <c r="E9" i="1"/>
  <c r="J33" i="1"/>
  <c r="E10" i="1"/>
  <c r="K13" i="1"/>
  <c r="J13" i="1"/>
  <c r="E13" i="1"/>
  <c r="E7" i="1"/>
  <c r="E5" i="1"/>
  <c r="E12" i="1"/>
  <c r="E11" i="1"/>
  <c r="E6" i="1"/>
  <c r="E4" i="1"/>
  <c r="E31" i="1"/>
  <c r="E30" i="1"/>
  <c r="E25" i="1"/>
  <c r="E32" i="1"/>
  <c r="E29" i="1"/>
  <c r="E24" i="1"/>
  <c r="E27" i="1"/>
  <c r="E26" i="1"/>
  <c r="E23" i="1"/>
  <c r="E28" i="1"/>
  <c r="F10" i="2" l="1"/>
  <c r="G10" i="2" s="1"/>
  <c r="E10" i="2"/>
  <c r="B12" i="2"/>
  <c r="C12" i="2" s="1"/>
  <c r="D11" i="2"/>
  <c r="E11" i="2" l="1"/>
  <c r="F11" i="2"/>
  <c r="G11" i="2" s="1"/>
  <c r="B13" i="2"/>
  <c r="C13" i="2" s="1"/>
  <c r="D12" i="2"/>
  <c r="E12" i="2" l="1"/>
  <c r="F12" i="2"/>
  <c r="G12" i="2" s="1"/>
  <c r="B14" i="2"/>
  <c r="C14" i="2" s="1"/>
  <c r="D13" i="2"/>
  <c r="E13" i="2" l="1"/>
  <c r="F13" i="2"/>
  <c r="G13" i="2" s="1"/>
  <c r="D14" i="2"/>
  <c r="E14" i="2" l="1"/>
  <c r="F14" i="2"/>
  <c r="G14" i="2" s="1"/>
</calcChain>
</file>

<file path=xl/sharedStrings.xml><?xml version="1.0" encoding="utf-8"?>
<sst xmlns="http://schemas.openxmlformats.org/spreadsheetml/2006/main" count="114" uniqueCount="81">
  <si>
    <t>R1 (kOhm)</t>
  </si>
  <si>
    <t>R2 (kOhm)</t>
  </si>
  <si>
    <t>V</t>
  </si>
  <si>
    <t>Rth (kOhm)</t>
  </si>
  <si>
    <t>Ino (mA)</t>
  </si>
  <si>
    <t>R1/R2</t>
  </si>
  <si>
    <t>N/U</t>
  </si>
  <si>
    <t>Cadc</t>
  </si>
  <si>
    <t>Ctrace</t>
  </si>
  <si>
    <t>pF</t>
  </si>
  <si>
    <t>Ptherm (mW)</t>
  </si>
  <si>
    <t>Nb cycles ADC</t>
  </si>
  <si>
    <t>Freq ADC</t>
  </si>
  <si>
    <t>MHz</t>
  </si>
  <si>
    <t>cycles</t>
  </si>
  <si>
    <t>ns</t>
  </si>
  <si>
    <t>t sampling</t>
  </si>
  <si>
    <t xml:space="preserve">To ensure a good feeding of the ADC </t>
  </si>
  <si>
    <t>sampling capacitance</t>
  </si>
  <si>
    <t xml:space="preserve">We can note that, using a direct reading, </t>
  </si>
  <si>
    <t xml:space="preserve">it will be hard to have a quality reading on the </t>
  </si>
  <si>
    <t>ADC with low power dissipation</t>
  </si>
  <si>
    <t>Vphmax</t>
  </si>
  <si>
    <t>Vphmean</t>
  </si>
  <si>
    <t>tsamp &gt; S*RC</t>
  </si>
  <si>
    <t>Only relevant if Cin_adc = 0</t>
  </si>
  <si>
    <t>kHz</t>
  </si>
  <si>
    <t xml:space="preserve">ADC resolution </t>
  </si>
  <si>
    <t>bit</t>
  </si>
  <si>
    <t>steps</t>
  </si>
  <si>
    <t>V/step</t>
  </si>
  <si>
    <t>ADC usefull steps</t>
  </si>
  <si>
    <t>Allowed error</t>
  </si>
  <si>
    <t>%</t>
  </si>
  <si>
    <t>°C/W</t>
  </si>
  <si>
    <t>°C</t>
  </si>
  <si>
    <t>Ambient temp</t>
  </si>
  <si>
    <t>F_filtered(MHz)</t>
  </si>
  <si>
    <t>Cin_adc (0 is an option)</t>
  </si>
  <si>
    <t>Real error (mean)</t>
  </si>
  <si>
    <t>Ok if &lt; tsample</t>
  </si>
  <si>
    <t>Ok if &gt; Sf * Fmax</t>
  </si>
  <si>
    <t>Biggest frequency (Fmax)</t>
  </si>
  <si>
    <t>thermal resistance 2012m</t>
  </si>
  <si>
    <t>Increase 2012m (°C)</t>
  </si>
  <si>
    <t>Increase 2520m (°C)</t>
  </si>
  <si>
    <t>thermal resistance 2520m</t>
  </si>
  <si>
    <t>security on freq (f)</t>
  </si>
  <si>
    <t>Amplitude error</t>
  </si>
  <si>
    <t>Phase error</t>
  </si>
  <si>
    <t>°</t>
  </si>
  <si>
    <t>Minimal I to sens</t>
  </si>
  <si>
    <t>A</t>
  </si>
  <si>
    <t>ADC range</t>
  </si>
  <si>
    <t>Mean Ibus</t>
  </si>
  <si>
    <t>Maximal Ibus</t>
  </si>
  <si>
    <t>Mean Iph</t>
  </si>
  <si>
    <t>Duty Cycle</t>
  </si>
  <si>
    <t>mV</t>
  </si>
  <si>
    <t>Voltage drop (mV)</t>
  </si>
  <si>
    <t>Disspated power (W)</t>
  </si>
  <si>
    <t>Rshunt (µOhm)</t>
  </si>
  <si>
    <t>Physic analysis of the Vsensing</t>
  </si>
  <si>
    <t>Physic analysis of the Isensing</t>
  </si>
  <si>
    <t>Res_adc_eff (steps)</t>
  </si>
  <si>
    <t>mV/s</t>
  </si>
  <si>
    <t>OPAMP gain</t>
  </si>
  <si>
    <t>Res_adcopamp_eff (steps)</t>
  </si>
  <si>
    <t>mA/step</t>
  </si>
  <si>
    <t>S*RCext (ns)</t>
  </si>
  <si>
    <t>S*RCint (ns)</t>
  </si>
  <si>
    <t>Charge factor (Sext)</t>
  </si>
  <si>
    <t>Charge factor (Sint)</t>
  </si>
  <si>
    <t>Minimal blanking time</t>
  </si>
  <si>
    <t>The whole ESC can dissipate up to 1.5W still and 3W with forced air</t>
  </si>
  <si>
    <t>Aimed Vth@45V</t>
  </si>
  <si>
    <t>Resistance on the ADC trace</t>
  </si>
  <si>
    <t>Ohm</t>
  </si>
  <si>
    <t>ADC conversion time</t>
  </si>
  <si>
    <t>ADC sampling time</t>
  </si>
  <si>
    <t>ADC 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</si>
</sst>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2" borderId="1" xfId="0" applyFill="1" applyBorder="1"/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0" borderId="9" xfId="0" applyBorder="1"/>
    <xf numFmtId="165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0" borderId="8" xfId="0" applyNumberFormat="1" applyBorder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166" fontId="2" fillId="6" borderId="1" xfId="0" applyNumberFormat="1" applyFont="1" applyFill="1" applyBorder="1" applyAlignment="1">
      <alignment horizontal="center"/>
    </xf>
    <xf numFmtId="166" fontId="2" fillId="6" borderId="0" xfId="0" applyNumberFormat="1" applyFont="1" applyFill="1" applyAlignment="1">
      <alignment horizontal="center"/>
    </xf>
    <xf numFmtId="167" fontId="2" fillId="6" borderId="0" xfId="0" applyNumberFormat="1" applyFont="1" applyFill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3" fillId="0" borderId="0" xfId="0" applyFont="1" applyFill="1"/>
    <xf numFmtId="1" fontId="0" fillId="4" borderId="1" xfId="0" applyNumberFormat="1" applyFill="1" applyBorder="1" applyAlignment="1">
      <alignment horizontal="center"/>
    </xf>
    <xf numFmtId="0" fontId="0" fillId="0" borderId="13" xfId="0" applyFill="1" applyBorder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7FA7-98B1-43B3-8996-93B4082609D4}">
  <dimension ref="B2:S38"/>
  <sheetViews>
    <sheetView tabSelected="1" zoomScale="85" zoomScaleNormal="85" workbookViewId="0">
      <selection activeCell="N9" sqref="N9"/>
    </sheetView>
  </sheetViews>
  <sheetFormatPr baseColWidth="10" defaultRowHeight="14.5" x14ac:dyDescent="0.35"/>
  <cols>
    <col min="1" max="1" width="3.453125" customWidth="1"/>
    <col min="2" max="2" width="9.36328125" customWidth="1"/>
    <col min="3" max="3" width="10.453125" customWidth="1"/>
    <col min="4" max="4" width="10.7265625" customWidth="1"/>
    <col min="5" max="5" width="8" customWidth="1"/>
    <col min="6" max="6" width="12.7265625" bestFit="1" customWidth="1"/>
    <col min="7" max="7" width="11.1796875" bestFit="1" customWidth="1"/>
    <col min="8" max="8" width="13.7265625" bestFit="1" customWidth="1"/>
    <col min="9" max="9" width="11.6328125" bestFit="1" customWidth="1"/>
    <col min="10" max="11" width="17.453125" bestFit="1" customWidth="1"/>
    <col min="12" max="12" width="2.81640625" bestFit="1" customWidth="1"/>
    <col min="13" max="13" width="25.453125" customWidth="1"/>
    <col min="14" max="14" width="13.36328125" bestFit="1" customWidth="1"/>
    <col min="15" max="15" width="6" bestFit="1" customWidth="1"/>
    <col min="16" max="16" width="2.26953125" customWidth="1"/>
    <col min="17" max="17" width="22" customWidth="1"/>
    <col min="19" max="19" width="6.08984375" bestFit="1" customWidth="1"/>
  </cols>
  <sheetData>
    <row r="2" spans="2:19" x14ac:dyDescent="0.35">
      <c r="B2" s="34" t="s">
        <v>62</v>
      </c>
      <c r="C2" s="35"/>
      <c r="D2" s="35"/>
      <c r="E2" s="35"/>
      <c r="F2" s="35"/>
      <c r="G2" s="35"/>
      <c r="H2" s="35"/>
      <c r="I2" s="35"/>
      <c r="J2" s="35"/>
      <c r="K2" s="36"/>
      <c r="M2" s="8" t="s">
        <v>22</v>
      </c>
      <c r="N2" s="2">
        <v>45</v>
      </c>
      <c r="O2" s="3" t="s">
        <v>2</v>
      </c>
      <c r="Q2" s="8" t="s">
        <v>27</v>
      </c>
      <c r="R2" s="2">
        <v>12</v>
      </c>
      <c r="S2" s="3" t="s">
        <v>28</v>
      </c>
    </row>
    <row r="3" spans="2:19" x14ac:dyDescent="0.35">
      <c r="B3" s="4" t="s">
        <v>0</v>
      </c>
      <c r="C3" s="4" t="s">
        <v>1</v>
      </c>
      <c r="D3" s="4" t="s">
        <v>3</v>
      </c>
      <c r="E3" s="4" t="s">
        <v>4</v>
      </c>
      <c r="F3" s="4" t="s">
        <v>70</v>
      </c>
      <c r="G3" s="4" t="s">
        <v>69</v>
      </c>
      <c r="H3" s="4" t="s">
        <v>37</v>
      </c>
      <c r="I3" s="4" t="s">
        <v>10</v>
      </c>
      <c r="J3" s="4" t="s">
        <v>45</v>
      </c>
      <c r="K3" s="4" t="s">
        <v>44</v>
      </c>
      <c r="M3" s="8" t="s">
        <v>23</v>
      </c>
      <c r="N3" s="2">
        <v>25</v>
      </c>
      <c r="O3" s="3" t="s">
        <v>2</v>
      </c>
      <c r="Q3" s="8" t="s">
        <v>27</v>
      </c>
      <c r="R3" s="2">
        <f>2^R2</f>
        <v>4096</v>
      </c>
      <c r="S3" s="3" t="s">
        <v>29</v>
      </c>
    </row>
    <row r="4" spans="2:19" x14ac:dyDescent="0.35">
      <c r="B4" s="5">
        <v>0.1</v>
      </c>
      <c r="C4" s="5">
        <f t="shared" ref="C4:C24" si="0">B4/$N$5</f>
        <v>1.4000000000000001</v>
      </c>
      <c r="D4" s="6">
        <f>B4*C4/(B4+C4)+$N$17/1000</f>
        <v>0.14033333333333331</v>
      </c>
      <c r="E4" s="7">
        <f t="shared" ref="E4:E24" si="1">$N$4/D4</f>
        <v>21.37767220902613</v>
      </c>
      <c r="F4" s="6">
        <f>IF($N$9=0,$N$23*($N$8+$N$7)*D4,$N$23*(0.1)*D4)</f>
        <v>0.14033333333333331</v>
      </c>
      <c r="G4" s="6">
        <f>$N$9*D4*$N$14</f>
        <v>140.33333333333331</v>
      </c>
      <c r="H4" s="6">
        <f>1/(2*PI()*($N$8+$N$7+$N$9)*D4)*1000</f>
        <v>9.8619194314920176</v>
      </c>
      <c r="I4" s="7">
        <f>$N$3*$N$3/(C4+B4)</f>
        <v>416.66666666666663</v>
      </c>
      <c r="J4" s="7">
        <f>I4*$R$10/1000</f>
        <v>33.333333333333329</v>
      </c>
      <c r="K4" s="7">
        <f>I4*$R$11/1000</f>
        <v>62.499999999999993</v>
      </c>
      <c r="M4" s="8" t="s">
        <v>75</v>
      </c>
      <c r="N4" s="2">
        <v>3</v>
      </c>
      <c r="O4" s="3" t="s">
        <v>2</v>
      </c>
      <c r="Q4" s="8" t="s">
        <v>27</v>
      </c>
      <c r="R4" s="16">
        <f>N2/R3</f>
        <v>1.0986328125E-2</v>
      </c>
      <c r="S4" s="3" t="s">
        <v>30</v>
      </c>
    </row>
    <row r="5" spans="2:19" x14ac:dyDescent="0.35">
      <c r="B5" s="5">
        <v>0.2</v>
      </c>
      <c r="C5" s="5">
        <f t="shared" si="0"/>
        <v>2.8000000000000003</v>
      </c>
      <c r="D5" s="6">
        <f t="shared" ref="D5:D33" si="2">B5*C5/(B5+C5)+$N$17/1000</f>
        <v>0.23366666666666663</v>
      </c>
      <c r="E5" s="7">
        <f t="shared" si="1"/>
        <v>12.83880171184023</v>
      </c>
      <c r="F5" s="6">
        <f>IF($N$9=0,$N$23*($N$8+$N$7)*D5,$N$23*(0.1)*D5)</f>
        <v>0.23366666666666663</v>
      </c>
      <c r="G5" s="6">
        <f>$N$9*D5*$N$14</f>
        <v>233.66666666666663</v>
      </c>
      <c r="H5" s="6">
        <f t="shared" ref="H5:H33" si="3">1/(2*PI()*($N$8+$N$7+$N$9)*D5)*1000</f>
        <v>5.9227790023653926</v>
      </c>
      <c r="I5" s="7">
        <f t="shared" ref="I5:I13" si="4">$N$3*$N$3/(C5+B5)</f>
        <v>208.33333333333331</v>
      </c>
      <c r="J5" s="7">
        <f>I5*$R$10/1000</f>
        <v>16.666666666666664</v>
      </c>
      <c r="K5" s="7">
        <f>I5*$R$11/1000</f>
        <v>31.249999999999996</v>
      </c>
      <c r="M5" s="8" t="s">
        <v>5</v>
      </c>
      <c r="N5" s="5">
        <f>N4/(N2-N4)</f>
        <v>7.1428571428571425E-2</v>
      </c>
      <c r="O5" s="3" t="s">
        <v>6</v>
      </c>
      <c r="Q5" s="8" t="s">
        <v>31</v>
      </c>
      <c r="R5" s="9">
        <f>N3/R4</f>
        <v>2275.5555555555557</v>
      </c>
      <c r="S5" s="3" t="s">
        <v>29</v>
      </c>
    </row>
    <row r="6" spans="2:19" x14ac:dyDescent="0.35">
      <c r="B6" s="5">
        <v>0.3</v>
      </c>
      <c r="C6" s="5">
        <f t="shared" si="0"/>
        <v>4.2</v>
      </c>
      <c r="D6" s="6">
        <f t="shared" si="2"/>
        <v>0.32700000000000001</v>
      </c>
      <c r="E6" s="7">
        <f t="shared" si="1"/>
        <v>9.1743119266055047</v>
      </c>
      <c r="F6" s="6">
        <f>IF($N$9=0,$N$23*($N$8+$N$7)*D6,$N$23*(0.1)*D6)</f>
        <v>0.32700000000000001</v>
      </c>
      <c r="G6" s="6">
        <f t="shared" ref="G6:G33" si="5">$N$9*D6*$N$14</f>
        <v>327</v>
      </c>
      <c r="H6" s="6">
        <f t="shared" si="3"/>
        <v>4.2322814277860745</v>
      </c>
      <c r="I6" s="7">
        <f t="shared" si="4"/>
        <v>138.88888888888889</v>
      </c>
      <c r="J6" s="7">
        <f>I6*$R$10/1000</f>
        <v>11.111111111111111</v>
      </c>
      <c r="K6" s="7">
        <f>I6*$R$11/1000</f>
        <v>20.833333333333332</v>
      </c>
      <c r="N6" s="1"/>
      <c r="Q6" s="8" t="s">
        <v>79</v>
      </c>
      <c r="R6" s="7">
        <f>N22</f>
        <v>41.666666666666664</v>
      </c>
      <c r="S6" s="32" t="s">
        <v>15</v>
      </c>
    </row>
    <row r="7" spans="2:19" x14ac:dyDescent="0.35">
      <c r="B7" s="5">
        <v>0.4</v>
      </c>
      <c r="C7" s="5">
        <f t="shared" si="0"/>
        <v>5.6000000000000005</v>
      </c>
      <c r="D7" s="6">
        <f t="shared" si="2"/>
        <v>0.42033333333333328</v>
      </c>
      <c r="E7" s="7">
        <f t="shared" si="1"/>
        <v>7.1371927042030148</v>
      </c>
      <c r="F7" s="6">
        <f>IF($N$9=0,$N$23*($N$8+$N$7)*D7,$N$23*(0.1)*D7)</f>
        <v>0.42033333333333328</v>
      </c>
      <c r="G7" s="6">
        <f>$N$9*D7*$N$14</f>
        <v>420.33333333333331</v>
      </c>
      <c r="H7" s="6">
        <f t="shared" si="3"/>
        <v>3.2925202860096268</v>
      </c>
      <c r="I7" s="7">
        <f t="shared" si="4"/>
        <v>104.16666666666666</v>
      </c>
      <c r="J7" s="7">
        <f>I7*$R$10/1000</f>
        <v>8.3333333333333321</v>
      </c>
      <c r="K7" s="7">
        <f>I7*$R$11/1000</f>
        <v>15.624999999999998</v>
      </c>
      <c r="M7" s="8" t="s">
        <v>7</v>
      </c>
      <c r="N7" s="2">
        <v>5</v>
      </c>
      <c r="O7" s="3" t="s">
        <v>9</v>
      </c>
      <c r="Q7" s="8" t="s">
        <v>78</v>
      </c>
      <c r="R7" s="9">
        <f>R2/N21*1000</f>
        <v>200</v>
      </c>
      <c r="S7" s="32" t="s">
        <v>15</v>
      </c>
    </row>
    <row r="8" spans="2:19" x14ac:dyDescent="0.35">
      <c r="B8" s="5">
        <v>0.5</v>
      </c>
      <c r="C8" s="5">
        <f t="shared" si="0"/>
        <v>7</v>
      </c>
      <c r="D8" s="6">
        <f t="shared" si="2"/>
        <v>0.51366666666666672</v>
      </c>
      <c r="E8" s="7">
        <f t="shared" si="1"/>
        <v>5.8403634003893572</v>
      </c>
      <c r="F8" s="6">
        <f>IF($N$9=0,$N$23*($N$8+$N$7)*D8,$N$23*(0.1)*D8)</f>
        <v>0.51366666666666672</v>
      </c>
      <c r="G8" s="6">
        <f t="shared" si="5"/>
        <v>513.66666666666674</v>
      </c>
      <c r="H8" s="6">
        <f t="shared" si="3"/>
        <v>2.6942687090578445</v>
      </c>
      <c r="I8" s="7">
        <f t="shared" si="4"/>
        <v>83.333333333333329</v>
      </c>
      <c r="J8" s="7">
        <f>I8*$R$10/1000</f>
        <v>6.6666666666666661</v>
      </c>
      <c r="K8" s="7">
        <f>I8*$R$11/1000</f>
        <v>12.5</v>
      </c>
      <c r="M8" s="8" t="s">
        <v>8</v>
      </c>
      <c r="N8" s="2">
        <v>10</v>
      </c>
      <c r="O8" s="3" t="s">
        <v>9</v>
      </c>
      <c r="Q8" s="8" t="s">
        <v>80</v>
      </c>
      <c r="R8" s="7">
        <f>R7+R6</f>
        <v>241.66666666666666</v>
      </c>
      <c r="S8" s="32" t="s">
        <v>15</v>
      </c>
    </row>
    <row r="9" spans="2:19" x14ac:dyDescent="0.35">
      <c r="B9" s="5">
        <v>0.6</v>
      </c>
      <c r="C9" s="5">
        <f t="shared" si="0"/>
        <v>8.4</v>
      </c>
      <c r="D9" s="6">
        <f t="shared" si="2"/>
        <v>0.6070000000000001</v>
      </c>
      <c r="E9" s="7">
        <f t="shared" si="1"/>
        <v>4.942339373970345</v>
      </c>
      <c r="F9" s="6">
        <f>IF($N$9=0,$N$23*($N$8+$N$7)*D9,$N$23*(0.1)*D9)</f>
        <v>0.6070000000000001</v>
      </c>
      <c r="G9" s="6">
        <f t="shared" si="5"/>
        <v>607.00000000000011</v>
      </c>
      <c r="H9" s="6">
        <f t="shared" si="3"/>
        <v>2.2799934545074896</v>
      </c>
      <c r="I9" s="7">
        <f t="shared" si="4"/>
        <v>69.444444444444443</v>
      </c>
      <c r="J9" s="7">
        <f>I9*$R$10/1000</f>
        <v>5.5555555555555554</v>
      </c>
      <c r="K9" s="7">
        <f>I9*$R$11/1000</f>
        <v>10.416666666666666</v>
      </c>
      <c r="M9" s="8" t="s">
        <v>38</v>
      </c>
      <c r="N9" s="17">
        <v>100</v>
      </c>
      <c r="O9" s="3" t="s">
        <v>9</v>
      </c>
    </row>
    <row r="10" spans="2:19" x14ac:dyDescent="0.35">
      <c r="B10" s="5">
        <v>0.7</v>
      </c>
      <c r="C10" s="5">
        <f t="shared" si="0"/>
        <v>9.8000000000000007</v>
      </c>
      <c r="D10" s="6">
        <f t="shared" si="2"/>
        <v>0.70033333333333336</v>
      </c>
      <c r="E10" s="7">
        <f t="shared" si="1"/>
        <v>4.2836744407425034</v>
      </c>
      <c r="F10" s="6">
        <f>IF($N$9=0,$N$23*($N$8+$N$7)*D10,$N$23*(0.1)*D10)</f>
        <v>0.70033333333333336</v>
      </c>
      <c r="G10" s="6">
        <f t="shared" si="5"/>
        <v>700.33333333333326</v>
      </c>
      <c r="H10" s="6">
        <f t="shared" si="3"/>
        <v>1.9761390198277671</v>
      </c>
      <c r="I10" s="7">
        <f t="shared" si="4"/>
        <v>59.523809523809526</v>
      </c>
      <c r="J10" s="7">
        <f>I10*$R$10/1000</f>
        <v>4.7619047619047628</v>
      </c>
      <c r="K10" s="7">
        <f>I10*$R$11/1000</f>
        <v>8.9285714285714288</v>
      </c>
      <c r="M10" s="8" t="s">
        <v>42</v>
      </c>
      <c r="N10" s="2">
        <v>128</v>
      </c>
      <c r="O10" s="3" t="s">
        <v>26</v>
      </c>
      <c r="Q10" s="8" t="s">
        <v>46</v>
      </c>
      <c r="R10" s="2">
        <v>80</v>
      </c>
      <c r="S10" s="3" t="s">
        <v>34</v>
      </c>
    </row>
    <row r="11" spans="2:19" x14ac:dyDescent="0.35">
      <c r="B11" s="5">
        <v>0.8</v>
      </c>
      <c r="C11" s="5">
        <f t="shared" si="0"/>
        <v>11.200000000000001</v>
      </c>
      <c r="D11" s="6">
        <f t="shared" si="2"/>
        <v>0.79366666666666663</v>
      </c>
      <c r="E11" s="7">
        <f t="shared" si="1"/>
        <v>3.7799244015119697</v>
      </c>
      <c r="F11" s="6">
        <f>IF($N$9=0,$N$23*($N$8+$N$7)*D11,$N$23*(0.1)*D11)</f>
        <v>0.79366666666666663</v>
      </c>
      <c r="G11" s="6">
        <f t="shared" si="5"/>
        <v>793.66666666666663</v>
      </c>
      <c r="H11" s="6">
        <f t="shared" si="3"/>
        <v>1.7437497188820406</v>
      </c>
      <c r="I11" s="7">
        <f t="shared" si="4"/>
        <v>52.083333333333329</v>
      </c>
      <c r="J11" s="7">
        <f>I11*$R$10/1000</f>
        <v>4.1666666666666661</v>
      </c>
      <c r="K11" s="7">
        <f>I11*$R$11/1000</f>
        <v>7.8124999999999991</v>
      </c>
      <c r="M11" s="8" t="s">
        <v>47</v>
      </c>
      <c r="N11" s="2">
        <v>5</v>
      </c>
      <c r="O11" s="3" t="s">
        <v>6</v>
      </c>
      <c r="Q11" s="8" t="s">
        <v>43</v>
      </c>
      <c r="R11" s="2">
        <v>150</v>
      </c>
      <c r="S11" s="3" t="s">
        <v>34</v>
      </c>
    </row>
    <row r="12" spans="2:19" x14ac:dyDescent="0.35">
      <c r="B12" s="5">
        <v>0.9</v>
      </c>
      <c r="C12" s="5">
        <f t="shared" si="0"/>
        <v>12.600000000000001</v>
      </c>
      <c r="D12" s="6">
        <f t="shared" si="2"/>
        <v>0.88700000000000001</v>
      </c>
      <c r="E12" s="7">
        <f t="shared" si="1"/>
        <v>3.3821871476888385</v>
      </c>
      <c r="F12" s="6">
        <f>IF($N$9=0,$N$23*($N$8+$N$7)*D12,$N$23*(0.1)*D12)</f>
        <v>0.88700000000000001</v>
      </c>
      <c r="G12" s="6">
        <f t="shared" si="5"/>
        <v>887</v>
      </c>
      <c r="H12" s="6">
        <f t="shared" si="3"/>
        <v>1.5602660957001651</v>
      </c>
      <c r="I12" s="7">
        <f t="shared" si="4"/>
        <v>46.296296296296291</v>
      </c>
      <c r="J12" s="7">
        <f>I12*$R$10/1000</f>
        <v>3.7037037037037033</v>
      </c>
      <c r="K12" s="7">
        <f>I12*$R$11/1000</f>
        <v>6.9444444444444438</v>
      </c>
      <c r="M12" s="8" t="s">
        <v>48</v>
      </c>
      <c r="N12" s="6">
        <f>(1-1/SQRT(1+(N10/N11/N10)^2))*100</f>
        <v>1.9419324309079888</v>
      </c>
      <c r="O12" s="3" t="s">
        <v>33</v>
      </c>
      <c r="Q12" s="8" t="s">
        <v>36</v>
      </c>
      <c r="R12" s="17">
        <v>80</v>
      </c>
      <c r="S12" s="18" t="s">
        <v>35</v>
      </c>
    </row>
    <row r="13" spans="2:19" x14ac:dyDescent="0.35">
      <c r="B13" s="5">
        <v>1</v>
      </c>
      <c r="C13" s="5">
        <f t="shared" si="0"/>
        <v>14</v>
      </c>
      <c r="D13" s="6">
        <f t="shared" si="2"/>
        <v>0.98033333333333339</v>
      </c>
      <c r="E13" s="7">
        <f t="shared" si="1"/>
        <v>3.0601836110166607</v>
      </c>
      <c r="F13" s="6">
        <f>IF($N$9=0,$N$23*($N$8+$N$7)*D13,$N$23*(0.1)*D13)</f>
        <v>0.98033333333333339</v>
      </c>
      <c r="G13" s="6">
        <f t="shared" si="5"/>
        <v>980.33333333333348</v>
      </c>
      <c r="H13" s="6">
        <f t="shared" si="3"/>
        <v>1.4117198506148039</v>
      </c>
      <c r="I13" s="7">
        <f t="shared" si="4"/>
        <v>41.666666666666664</v>
      </c>
      <c r="J13" s="7">
        <f>I13*$R$10/1000</f>
        <v>3.333333333333333</v>
      </c>
      <c r="K13" s="7">
        <f>I13*$R$11/1000</f>
        <v>6.25</v>
      </c>
      <c r="M13" s="8" t="s">
        <v>49</v>
      </c>
      <c r="N13" s="9">
        <f>ATAN(N10/N11/N10)/PI()*180</f>
        <v>11.309932474020215</v>
      </c>
      <c r="O13" s="3" t="s">
        <v>50</v>
      </c>
    </row>
    <row r="14" spans="2:19" x14ac:dyDescent="0.35">
      <c r="B14" s="5">
        <v>1.1000000000000001</v>
      </c>
      <c r="C14" s="5">
        <f t="shared" si="0"/>
        <v>15.400000000000002</v>
      </c>
      <c r="D14" s="6">
        <f t="shared" si="2"/>
        <v>1.0736666666666668</v>
      </c>
      <c r="E14" s="7">
        <f t="shared" si="1"/>
        <v>2.7941633033219495</v>
      </c>
      <c r="F14" s="6">
        <f>IF($N$9=0,$N$23*($N$8+$N$7)*D14,$N$23*(0.1)*D14)</f>
        <v>1.0736666666666668</v>
      </c>
      <c r="G14" s="6">
        <f t="shared" si="5"/>
        <v>1073.6666666666667</v>
      </c>
      <c r="H14" s="6">
        <f t="shared" si="3"/>
        <v>1.2889997145787455</v>
      </c>
      <c r="I14" s="7">
        <f t="shared" ref="I14:I21" si="6">$N$3*$N$3/(C14+B14)</f>
        <v>37.878787878787868</v>
      </c>
      <c r="J14" s="7">
        <f>I14*$R$10/1000</f>
        <v>3.0303030303030294</v>
      </c>
      <c r="K14" s="7">
        <f>I14*$R$11/1000</f>
        <v>5.6818181818181799</v>
      </c>
      <c r="M14" s="8" t="s">
        <v>71</v>
      </c>
      <c r="N14" s="2">
        <f>N23</f>
        <v>10</v>
      </c>
      <c r="O14" s="3" t="s">
        <v>6</v>
      </c>
      <c r="Q14" t="s">
        <v>17</v>
      </c>
    </row>
    <row r="15" spans="2:19" x14ac:dyDescent="0.35">
      <c r="B15" s="5">
        <v>1.2</v>
      </c>
      <c r="C15" s="5">
        <f t="shared" si="0"/>
        <v>16.8</v>
      </c>
      <c r="D15" s="6">
        <f t="shared" si="2"/>
        <v>1.167</v>
      </c>
      <c r="E15" s="7">
        <f t="shared" si="1"/>
        <v>2.5706940874035991</v>
      </c>
      <c r="F15" s="6">
        <f>IF($N$9=0,$N$23*($N$8+$N$7)*D15,$N$23*(0.1)*D15)</f>
        <v>1.167</v>
      </c>
      <c r="G15" s="6">
        <f t="shared" si="5"/>
        <v>1167</v>
      </c>
      <c r="H15" s="6">
        <f t="shared" si="3"/>
        <v>1.1859091918475118</v>
      </c>
      <c r="I15" s="7">
        <f t="shared" si="6"/>
        <v>34.722222222222221</v>
      </c>
      <c r="J15" s="7">
        <f>I15*$R$10/1000</f>
        <v>2.7777777777777777</v>
      </c>
      <c r="K15" s="7">
        <f>I15*$R$11/1000</f>
        <v>5.208333333333333</v>
      </c>
      <c r="M15" s="8" t="s">
        <v>32</v>
      </c>
      <c r="N15" s="5">
        <f>(EXP(-N14))*100</f>
        <v>4.5399929762484853E-3</v>
      </c>
      <c r="O15" s="3" t="s">
        <v>33</v>
      </c>
      <c r="Q15" t="s">
        <v>18</v>
      </c>
    </row>
    <row r="16" spans="2:19" x14ac:dyDescent="0.35">
      <c r="B16" s="5">
        <v>1.3</v>
      </c>
      <c r="C16" s="5">
        <f t="shared" si="0"/>
        <v>18.200000000000003</v>
      </c>
      <c r="D16" s="6">
        <f t="shared" si="2"/>
        <v>1.2603333333333333</v>
      </c>
      <c r="E16" s="7">
        <f t="shared" si="1"/>
        <v>2.3803226659613861</v>
      </c>
      <c r="F16" s="6">
        <f>IF($N$9=0,$N$23*($N$8+$N$7)*D16,$N$23*(0.1)*D16)</f>
        <v>1.2603333333333333</v>
      </c>
      <c r="G16" s="6">
        <f t="shared" si="5"/>
        <v>1260.3333333333333</v>
      </c>
      <c r="H16" s="6">
        <f t="shared" si="3"/>
        <v>1.0980872998302404</v>
      </c>
      <c r="I16" s="7">
        <f t="shared" si="6"/>
        <v>32.051282051282044</v>
      </c>
      <c r="J16" s="7">
        <f>I16*$R$10/1000</f>
        <v>2.5641025641025634</v>
      </c>
      <c r="K16" s="7">
        <f>I16*$R$11/1000</f>
        <v>4.8076923076923066</v>
      </c>
      <c r="M16" s="8" t="s">
        <v>73</v>
      </c>
      <c r="N16" s="2">
        <v>480</v>
      </c>
      <c r="O16" s="32" t="s">
        <v>15</v>
      </c>
      <c r="Q16" s="10" t="s">
        <v>24</v>
      </c>
    </row>
    <row r="17" spans="2:17" x14ac:dyDescent="0.35">
      <c r="B17" s="5">
        <v>1.4</v>
      </c>
      <c r="C17" s="5">
        <f t="shared" si="0"/>
        <v>19.600000000000001</v>
      </c>
      <c r="D17" s="6">
        <f t="shared" si="2"/>
        <v>1.3536666666666666</v>
      </c>
      <c r="E17" s="7">
        <f t="shared" si="1"/>
        <v>2.2162029056882542</v>
      </c>
      <c r="F17" s="6">
        <f>IF($N$9=0,$N$23*($N$8+$N$7)*D17,$N$23*(0.1)*D17)</f>
        <v>1.3536666666666666</v>
      </c>
      <c r="G17" s="6">
        <f t="shared" si="5"/>
        <v>1353.6666666666665</v>
      </c>
      <c r="H17" s="6">
        <f t="shared" si="3"/>
        <v>1.0223757893765426</v>
      </c>
      <c r="I17" s="7">
        <f t="shared" si="6"/>
        <v>29.761904761904763</v>
      </c>
      <c r="J17" s="7">
        <f>I17*$R$10/1000</f>
        <v>2.3809523809523814</v>
      </c>
      <c r="K17" s="7">
        <f>I17*$R$11/1000</f>
        <v>4.4642857142857144</v>
      </c>
      <c r="M17" s="8" t="s">
        <v>76</v>
      </c>
      <c r="N17" s="2">
        <v>47</v>
      </c>
      <c r="O17" s="32" t="s">
        <v>77</v>
      </c>
    </row>
    <row r="18" spans="2:17" ht="15" thickBot="1" x14ac:dyDescent="0.4">
      <c r="B18" s="5">
        <v>1.5</v>
      </c>
      <c r="C18" s="5">
        <f t="shared" si="0"/>
        <v>21</v>
      </c>
      <c r="D18" s="6">
        <f t="shared" si="2"/>
        <v>1.4469999999999998</v>
      </c>
      <c r="E18" s="7">
        <f t="shared" si="1"/>
        <v>2.0732550103662755</v>
      </c>
      <c r="F18" s="6">
        <f>IF($N$9=0,$N$23*($N$8+$N$7)*D18,$N$23*(0.1)*D18)</f>
        <v>1.4469999999999998</v>
      </c>
      <c r="G18" s="6">
        <f t="shared" si="5"/>
        <v>1447</v>
      </c>
      <c r="H18" s="6">
        <f t="shared" si="3"/>
        <v>0.95643125562269971</v>
      </c>
      <c r="I18" s="7">
        <f t="shared" si="6"/>
        <v>27.777777777777779</v>
      </c>
      <c r="J18" s="7">
        <f>I18*$R$10/1000</f>
        <v>2.2222222222222223</v>
      </c>
      <c r="K18" s="7">
        <f>I18*$R$11/1000</f>
        <v>4.166666666666667</v>
      </c>
      <c r="Q18" t="s">
        <v>19</v>
      </c>
    </row>
    <row r="19" spans="2:17" x14ac:dyDescent="0.35">
      <c r="B19" s="5">
        <v>1.6</v>
      </c>
      <c r="C19" s="5">
        <f t="shared" si="0"/>
        <v>22.400000000000002</v>
      </c>
      <c r="D19" s="6">
        <f t="shared" si="2"/>
        <v>1.5403333333333331</v>
      </c>
      <c r="E19" s="7">
        <f t="shared" si="1"/>
        <v>1.9476303830339756</v>
      </c>
      <c r="F19" s="6">
        <f>IF($N$9=0,$N$23*($N$8+$N$7)*D19,$N$23*(0.1)*D19)</f>
        <v>1.5403333333333331</v>
      </c>
      <c r="G19" s="6">
        <f t="shared" si="5"/>
        <v>1540.333333333333</v>
      </c>
      <c r="H19" s="6">
        <f t="shared" si="3"/>
        <v>0.89847826891541649</v>
      </c>
      <c r="I19" s="7">
        <f t="shared" si="6"/>
        <v>26.041666666666664</v>
      </c>
      <c r="J19" s="7">
        <f>I19*$R$10/1000</f>
        <v>2.083333333333333</v>
      </c>
      <c r="K19" s="7">
        <f>I19*$R$11/1000</f>
        <v>3.9062499999999996</v>
      </c>
      <c r="M19" s="27" t="s">
        <v>25</v>
      </c>
      <c r="N19" s="28"/>
      <c r="O19" s="29"/>
      <c r="Q19" t="s">
        <v>20</v>
      </c>
    </row>
    <row r="20" spans="2:17" x14ac:dyDescent="0.35">
      <c r="B20" s="5">
        <v>1.7</v>
      </c>
      <c r="C20" s="5">
        <f t="shared" si="0"/>
        <v>23.8</v>
      </c>
      <c r="D20" s="6">
        <f t="shared" si="2"/>
        <v>1.6336666666666666</v>
      </c>
      <c r="E20" s="7">
        <f t="shared" si="1"/>
        <v>1.836359926545603</v>
      </c>
      <c r="F20" s="6">
        <f>IF($N$9=0,$N$23*($N$8+$N$7)*D20,$N$23*(0.1)*D20)</f>
        <v>1.6336666666666666</v>
      </c>
      <c r="G20" s="6">
        <f t="shared" si="5"/>
        <v>1633.6666666666667</v>
      </c>
      <c r="H20" s="6">
        <f t="shared" si="3"/>
        <v>0.84714712929160152</v>
      </c>
      <c r="I20" s="7">
        <f t="shared" si="6"/>
        <v>24.509803921568629</v>
      </c>
      <c r="J20" s="7">
        <f>I20*$R$10/1000</f>
        <v>1.9607843137254903</v>
      </c>
      <c r="K20" s="7">
        <f>I20*$R$11/1000</f>
        <v>3.6764705882352944</v>
      </c>
      <c r="M20" s="12" t="s">
        <v>11</v>
      </c>
      <c r="N20" s="2">
        <v>2.5</v>
      </c>
      <c r="O20" s="13" t="s">
        <v>14</v>
      </c>
      <c r="Q20" t="s">
        <v>21</v>
      </c>
    </row>
    <row r="21" spans="2:17" x14ac:dyDescent="0.35">
      <c r="B21" s="5">
        <v>1.8</v>
      </c>
      <c r="C21" s="5">
        <f t="shared" si="0"/>
        <v>25.200000000000003</v>
      </c>
      <c r="D21" s="6">
        <f t="shared" si="2"/>
        <v>1.7269999999999999</v>
      </c>
      <c r="E21" s="7">
        <f t="shared" si="1"/>
        <v>1.7371163867979156</v>
      </c>
      <c r="F21" s="6">
        <f>IF($N$9=0,$N$23*($N$8+$N$7)*D21,$N$23*(0.1)*D21)</f>
        <v>1.7269999999999999</v>
      </c>
      <c r="G21" s="6">
        <f t="shared" si="5"/>
        <v>1727</v>
      </c>
      <c r="H21" s="6">
        <f t="shared" si="3"/>
        <v>0.80136423097049603</v>
      </c>
      <c r="I21" s="7">
        <f t="shared" si="6"/>
        <v>23.148148148148145</v>
      </c>
      <c r="J21" s="7">
        <f>I21*$R$10/1000</f>
        <v>1.8518518518518516</v>
      </c>
      <c r="K21" s="7">
        <f>I21*$R$11/1000</f>
        <v>3.4722222222222219</v>
      </c>
      <c r="M21" s="12" t="s">
        <v>12</v>
      </c>
      <c r="N21" s="2">
        <v>60</v>
      </c>
      <c r="O21" s="13" t="s">
        <v>13</v>
      </c>
    </row>
    <row r="22" spans="2:17" x14ac:dyDescent="0.35">
      <c r="B22" s="5">
        <v>1.9</v>
      </c>
      <c r="C22" s="5">
        <f t="shared" si="0"/>
        <v>26.6</v>
      </c>
      <c r="D22" s="6">
        <f t="shared" si="2"/>
        <v>1.8203333333333331</v>
      </c>
      <c r="E22" s="7">
        <f t="shared" si="1"/>
        <v>1.6480498077275225</v>
      </c>
      <c r="F22" s="6">
        <f>IF($N$9=0,$N$23*($N$8+$N$7)*D22,$N$23*(0.1)*D22)</f>
        <v>1.8203333333333331</v>
      </c>
      <c r="G22" s="6">
        <f t="shared" si="5"/>
        <v>1820.333333333333</v>
      </c>
      <c r="H22" s="6">
        <f t="shared" si="3"/>
        <v>0.76027615467096499</v>
      </c>
      <c r="I22" s="7">
        <f t="shared" ref="I22" si="7">$N$3*$N$3/(C22+B22)</f>
        <v>21.92982456140351</v>
      </c>
      <c r="J22" s="7">
        <f>I22*$R$10/1000</f>
        <v>1.7543859649122808</v>
      </c>
      <c r="K22" s="7">
        <f>I22*$R$11/1000</f>
        <v>3.2894736842105265</v>
      </c>
      <c r="M22" s="12" t="s">
        <v>16</v>
      </c>
      <c r="N22" s="7">
        <f>N20/N21*1000</f>
        <v>41.666666666666664</v>
      </c>
      <c r="O22" s="13" t="s">
        <v>15</v>
      </c>
    </row>
    <row r="23" spans="2:17" x14ac:dyDescent="0.35">
      <c r="B23" s="5">
        <v>2</v>
      </c>
      <c r="C23" s="5">
        <f>B23/$N$5</f>
        <v>28</v>
      </c>
      <c r="D23" s="6">
        <f t="shared" si="2"/>
        <v>1.9136666666666666</v>
      </c>
      <c r="E23" s="7">
        <f>$N$4/D23</f>
        <v>1.567671137432503</v>
      </c>
      <c r="F23" s="6">
        <f>IF($N$9=0,$N$23*($N$8+$N$7)*D23,$N$23*(0.1)*D23)</f>
        <v>1.9136666666666666</v>
      </c>
      <c r="G23" s="6">
        <f t="shared" si="5"/>
        <v>1913.6666666666667</v>
      </c>
      <c r="H23" s="6">
        <f t="shared" si="3"/>
        <v>0.72319597294167204</v>
      </c>
      <c r="I23" s="7">
        <f>$N$3*$N$3/(C23+B23)</f>
        <v>20.833333333333332</v>
      </c>
      <c r="J23" s="7">
        <f>I23*$R$10/1000</f>
        <v>1.6666666666666665</v>
      </c>
      <c r="K23" s="7">
        <f>I23*$R$11/1000</f>
        <v>3.125</v>
      </c>
      <c r="M23" s="12" t="s">
        <v>72</v>
      </c>
      <c r="N23" s="2">
        <v>10</v>
      </c>
      <c r="O23" s="13" t="s">
        <v>6</v>
      </c>
    </row>
    <row r="24" spans="2:17" x14ac:dyDescent="0.35">
      <c r="B24" s="5">
        <v>3</v>
      </c>
      <c r="C24" s="5">
        <f>B24/$N$5</f>
        <v>42</v>
      </c>
      <c r="D24" s="6">
        <f t="shared" si="2"/>
        <v>2.847</v>
      </c>
      <c r="E24" s="7">
        <f>$N$4/D24</f>
        <v>1.053740779768177</v>
      </c>
      <c r="F24" s="6">
        <f>IF($N$9=0,$N$23*($N$8+$N$7)*D24,$N$23*(0.1)*D24)</f>
        <v>2.847</v>
      </c>
      <c r="G24" s="6">
        <f t="shared" si="5"/>
        <v>2847</v>
      </c>
      <c r="H24" s="6">
        <f t="shared" si="3"/>
        <v>0.48611030097859032</v>
      </c>
      <c r="I24" s="7">
        <f>$N$3*$N$3/(C24+B24)</f>
        <v>13.888888888888889</v>
      </c>
      <c r="J24" s="7">
        <f>I24*$R$10/1000</f>
        <v>1.1111111111111112</v>
      </c>
      <c r="K24" s="7">
        <f>I24*$R$11/1000</f>
        <v>2.0833333333333335</v>
      </c>
      <c r="M24" s="12" t="s">
        <v>32</v>
      </c>
      <c r="N24" s="5">
        <f>(EXP(-N23))*100</f>
        <v>4.5399929762484853E-3</v>
      </c>
      <c r="O24" s="13" t="s">
        <v>33</v>
      </c>
    </row>
    <row r="25" spans="2:17" x14ac:dyDescent="0.35">
      <c r="B25" s="5">
        <v>4</v>
      </c>
      <c r="C25" s="5">
        <f>B25/$N$5</f>
        <v>56</v>
      </c>
      <c r="D25" s="6">
        <f t="shared" si="2"/>
        <v>3.7803333333333335</v>
      </c>
      <c r="E25" s="7">
        <f>$N$4/D25</f>
        <v>0.79358081297945504</v>
      </c>
      <c r="F25" s="6">
        <f>IF($N$9=0,$N$23*($N$8+$N$7)*D25,$N$23*(0.1)*D25)</f>
        <v>3.7803333333333335</v>
      </c>
      <c r="G25" s="6">
        <f t="shared" si="5"/>
        <v>3780.3333333333335</v>
      </c>
      <c r="H25" s="6">
        <f t="shared" si="3"/>
        <v>0.36609364964801505</v>
      </c>
      <c r="I25" s="7">
        <f>$N$3*$N$3/(C25+B25)</f>
        <v>10.416666666666666</v>
      </c>
      <c r="J25" s="7">
        <f>I25*$R$10/1000</f>
        <v>0.83333333333333326</v>
      </c>
      <c r="K25" s="7">
        <f>I25*$R$11/1000</f>
        <v>1.5625</v>
      </c>
      <c r="M25" s="12" t="s">
        <v>32</v>
      </c>
      <c r="N25" s="5">
        <f>N24*R3/100</f>
        <v>0.18595811230713796</v>
      </c>
      <c r="O25" s="13" t="s">
        <v>29</v>
      </c>
    </row>
    <row r="26" spans="2:17" x14ac:dyDescent="0.35">
      <c r="B26" s="5">
        <v>5</v>
      </c>
      <c r="C26" s="5">
        <f>B26/$N$5</f>
        <v>70</v>
      </c>
      <c r="D26" s="6">
        <f t="shared" si="2"/>
        <v>4.7136666666666667</v>
      </c>
      <c r="E26" s="7">
        <f>$N$4/D26</f>
        <v>0.6364472102397285</v>
      </c>
      <c r="F26" s="6">
        <f>IF($N$9=0,$N$23*($N$8+$N$7)*D26,$N$23*(0.1)*D26)</f>
        <v>4.7136666666666667</v>
      </c>
      <c r="G26" s="6">
        <f t="shared" si="5"/>
        <v>4713.666666666667</v>
      </c>
      <c r="H26" s="6">
        <f t="shared" si="3"/>
        <v>0.29360498413536096</v>
      </c>
      <c r="I26" s="7">
        <f>$N$3*$N$3/(C26+B26)</f>
        <v>8.3333333333333339</v>
      </c>
      <c r="J26" s="7">
        <f>I26*$R$10/1000</f>
        <v>0.66666666666666674</v>
      </c>
      <c r="K26" s="7">
        <f>I26*$R$11/1000</f>
        <v>1.25</v>
      </c>
      <c r="M26" s="12" t="s">
        <v>32</v>
      </c>
      <c r="N26" s="46">
        <f>R4*N25*1000</f>
        <v>2.0429968393118183</v>
      </c>
      <c r="O26" s="45" t="s">
        <v>58</v>
      </c>
    </row>
    <row r="27" spans="2:17" ht="15" thickBot="1" x14ac:dyDescent="0.4">
      <c r="B27" s="5">
        <v>6</v>
      </c>
      <c r="C27" s="5">
        <f>B27/$N$5</f>
        <v>84</v>
      </c>
      <c r="D27" s="6">
        <f t="shared" si="2"/>
        <v>5.6469999999999994</v>
      </c>
      <c r="E27" s="7">
        <f>$N$4/D27</f>
        <v>0.53125553391181168</v>
      </c>
      <c r="F27" s="6">
        <f>IF($N$9=0,$N$23*($N$8+$N$7)*D27,$N$23*(0.1)*D27)</f>
        <v>5.6469999999999994</v>
      </c>
      <c r="G27" s="6">
        <f t="shared" si="5"/>
        <v>5646.9999999999991</v>
      </c>
      <c r="H27" s="6">
        <f t="shared" si="3"/>
        <v>0.24507809932460536</v>
      </c>
      <c r="I27" s="7">
        <f>$N$3*$N$3/(C27+B27)</f>
        <v>6.9444444444444446</v>
      </c>
      <c r="J27" s="7">
        <f>I27*$R$10/1000</f>
        <v>0.55555555555555558</v>
      </c>
      <c r="K27" s="7">
        <f>I27*$R$11/1000</f>
        <v>1.0416666666666667</v>
      </c>
      <c r="M27" s="14" t="s">
        <v>39</v>
      </c>
      <c r="N27" s="19">
        <f>N26/N3</f>
        <v>8.1719873572472734E-2</v>
      </c>
      <c r="O27" s="15" t="s">
        <v>33</v>
      </c>
    </row>
    <row r="28" spans="2:17" x14ac:dyDescent="0.35">
      <c r="B28" s="5">
        <v>7</v>
      </c>
      <c r="C28" s="5">
        <f>B28/$N$5</f>
        <v>98</v>
      </c>
      <c r="D28" s="6">
        <f t="shared" si="2"/>
        <v>6.5803333333333329</v>
      </c>
      <c r="E28" s="7">
        <f>$N$4/D28</f>
        <v>0.45590395623322022</v>
      </c>
      <c r="F28" s="6">
        <f>IF($N$9=0,$N$23*($N$8+$N$7)*D28,$N$23*(0.1)*D28)</f>
        <v>6.5803333333333329</v>
      </c>
      <c r="G28" s="6">
        <f t="shared" si="5"/>
        <v>6580.333333333333</v>
      </c>
      <c r="H28" s="6">
        <f t="shared" si="3"/>
        <v>0.21031700930338582</v>
      </c>
      <c r="I28" s="7">
        <f>$N$3*$N$3/(C28+B28)</f>
        <v>5.9523809523809526</v>
      </c>
      <c r="J28" s="7">
        <f>I28*$R$10/1000</f>
        <v>0.47619047619047622</v>
      </c>
      <c r="K28" s="7">
        <f>I28*$R$11/1000</f>
        <v>0.8928571428571429</v>
      </c>
    </row>
    <row r="29" spans="2:17" x14ac:dyDescent="0.35">
      <c r="B29" s="5">
        <v>8</v>
      </c>
      <c r="C29" s="5">
        <f>B29/$N$5</f>
        <v>112</v>
      </c>
      <c r="D29" s="6">
        <f t="shared" si="2"/>
        <v>7.5136666666666665</v>
      </c>
      <c r="E29" s="7">
        <f>$N$4/D29</f>
        <v>0.3992724368927732</v>
      </c>
      <c r="F29" s="6">
        <f>IF($N$9=0,$N$23*($N$8+$N$7)*D29,$N$23*(0.1)*D29)</f>
        <v>7.5136666666666665</v>
      </c>
      <c r="G29" s="6">
        <f t="shared" si="5"/>
        <v>7513.666666666667</v>
      </c>
      <c r="H29" s="6">
        <f t="shared" si="3"/>
        <v>0.18419183180241067</v>
      </c>
      <c r="I29" s="7">
        <f>$N$3*$N$3/(C29+B29)</f>
        <v>5.208333333333333</v>
      </c>
      <c r="J29" s="7">
        <f>I29*$R$10/1000</f>
        <v>0.41666666666666663</v>
      </c>
      <c r="K29" s="7">
        <f>I29*$R$11/1000</f>
        <v>0.78125</v>
      </c>
      <c r="M29" s="30" t="s">
        <v>74</v>
      </c>
    </row>
    <row r="30" spans="2:17" x14ac:dyDescent="0.35">
      <c r="B30" s="5">
        <v>9</v>
      </c>
      <c r="C30" s="5">
        <f>B30/$N$5</f>
        <v>126</v>
      </c>
      <c r="D30" s="6">
        <f t="shared" si="2"/>
        <v>8.447000000000001</v>
      </c>
      <c r="E30" s="7">
        <f>$N$4/D30</f>
        <v>0.35515567657156383</v>
      </c>
      <c r="F30" s="6">
        <f>IF($N$9=0,$N$23*($N$8+$N$7)*D30,$N$23*(0.1)*D30)</f>
        <v>8.447000000000001</v>
      </c>
      <c r="G30" s="6">
        <f t="shared" si="5"/>
        <v>8447</v>
      </c>
      <c r="H30" s="6">
        <f t="shared" si="3"/>
        <v>0.16383994635800239</v>
      </c>
      <c r="I30" s="7">
        <f>$N$3*$N$3/(C30+B30)</f>
        <v>4.6296296296296298</v>
      </c>
      <c r="J30" s="7">
        <f>I30*$R$10/1000</f>
        <v>0.37037037037037041</v>
      </c>
      <c r="K30" s="7">
        <f>I30*$R$11/1000</f>
        <v>0.69444444444444442</v>
      </c>
    </row>
    <row r="31" spans="2:17" x14ac:dyDescent="0.35">
      <c r="B31" s="5">
        <v>10</v>
      </c>
      <c r="C31" s="5">
        <f>B31/$N$5</f>
        <v>140</v>
      </c>
      <c r="D31" s="6">
        <f t="shared" si="2"/>
        <v>9.3803333333333345</v>
      </c>
      <c r="E31" s="7">
        <f>$N$4/D31</f>
        <v>0.31981805905973487</v>
      </c>
      <c r="F31" s="6">
        <f>IF($N$9=0,$N$23*($N$8+$N$7)*D31,$N$23*(0.1)*D31)</f>
        <v>9.3803333333333345</v>
      </c>
      <c r="G31" s="6">
        <f t="shared" si="5"/>
        <v>9380.3333333333339</v>
      </c>
      <c r="H31" s="6">
        <f t="shared" si="3"/>
        <v>0.14753804344757254</v>
      </c>
      <c r="I31" s="7">
        <f>$N$3*$N$3/(C31+B31)</f>
        <v>4.166666666666667</v>
      </c>
      <c r="J31" s="7">
        <f>I31*$R$10/1000</f>
        <v>0.33333333333333337</v>
      </c>
      <c r="K31" s="7">
        <f>I31*$R$11/1000</f>
        <v>0.625</v>
      </c>
    </row>
    <row r="32" spans="2:17" x14ac:dyDescent="0.35">
      <c r="B32" s="5">
        <v>20</v>
      </c>
      <c r="C32" s="5">
        <f>B32/$N$5</f>
        <v>280</v>
      </c>
      <c r="D32" s="6">
        <f t="shared" si="2"/>
        <v>18.713666666666668</v>
      </c>
      <c r="E32" s="7">
        <f>$N$4/D32</f>
        <v>0.1603106464081509</v>
      </c>
      <c r="F32" s="6">
        <f>IF($N$9=0,$N$23*($N$8+$N$7)*D32,$N$23*(0.1)*D32)</f>
        <v>18.713666666666668</v>
      </c>
      <c r="G32" s="6">
        <f t="shared" si="5"/>
        <v>18713.666666666668</v>
      </c>
      <c r="H32" s="6">
        <f t="shared" si="3"/>
        <v>7.3954295090186112E-2</v>
      </c>
      <c r="I32" s="7">
        <f>$N$3*$N$3/(C32+B32)</f>
        <v>2.0833333333333335</v>
      </c>
      <c r="J32" s="7">
        <f>I32*$R$10/1000</f>
        <v>0.16666666666666669</v>
      </c>
      <c r="K32" s="7">
        <f>I32*$R$11/1000</f>
        <v>0.3125</v>
      </c>
    </row>
    <row r="33" spans="2:11" x14ac:dyDescent="0.35">
      <c r="B33" s="22">
        <v>1.3068</v>
      </c>
      <c r="C33" s="22">
        <f>B33/$N$5</f>
        <v>18.295200000000001</v>
      </c>
      <c r="D33" s="6">
        <f t="shared" si="2"/>
        <v>1.26668</v>
      </c>
      <c r="E33" s="20">
        <f>$N$4/D33</f>
        <v>2.3683961221460827</v>
      </c>
      <c r="F33" s="25">
        <f>IF($N$9=0,$N$23*($N$8+$N$7)*D33,$N$23*(0.1)*D33)</f>
        <v>1.26668</v>
      </c>
      <c r="G33" s="6">
        <f t="shared" si="5"/>
        <v>1266.68</v>
      </c>
      <c r="H33" s="6">
        <f t="shared" si="3"/>
        <v>1.0925853624325372</v>
      </c>
      <c r="I33" s="20">
        <f>$N$3*$N$3/(C33+B33)</f>
        <v>31.884501581471277</v>
      </c>
      <c r="J33" s="20">
        <f>I33*$R$10/1000</f>
        <v>2.5507601265177025</v>
      </c>
      <c r="K33" s="20">
        <f>I33*$R$11/1000</f>
        <v>4.7826752372206913</v>
      </c>
    </row>
    <row r="34" spans="2:11" x14ac:dyDescent="0.35">
      <c r="B34" s="23"/>
      <c r="C34" s="23"/>
      <c r="D34" s="24"/>
      <c r="E34" s="24"/>
      <c r="F34" s="26"/>
      <c r="G34" s="42"/>
      <c r="H34" s="40"/>
      <c r="I34" s="24"/>
      <c r="J34" s="24"/>
      <c r="K34" s="24"/>
    </row>
    <row r="35" spans="2:11" x14ac:dyDescent="0.35">
      <c r="B35" s="22">
        <v>1.3</v>
      </c>
      <c r="C35" s="22">
        <v>16</v>
      </c>
      <c r="D35" s="20">
        <f>B35*C35/(B35+C35)</f>
        <v>1.2023121387283238</v>
      </c>
      <c r="E35" s="20">
        <f>$N$4/D35</f>
        <v>2.4951923076923075</v>
      </c>
      <c r="F35" s="25">
        <f>IF($N$9=0,$N$23*($N$8+$N$7)*D35,$N$23*(0.1)*D35)</f>
        <v>1.2023121387283238</v>
      </c>
      <c r="G35" s="41">
        <f>C35*D35*$N$14</f>
        <v>192.36994219653181</v>
      </c>
      <c r="H35" s="21">
        <f>1/(($N$8+$N$7+$N$9)*D35)*1000</f>
        <v>7.2324414715719065</v>
      </c>
      <c r="I35" s="20">
        <f>$N$3*$N$3/(C35+B35)</f>
        <v>36.127167630057805</v>
      </c>
      <c r="J35" s="20">
        <f>I35*$R$10/1000</f>
        <v>2.8901734104046244</v>
      </c>
      <c r="K35" s="20">
        <f>I35*$R$11/1000</f>
        <v>5.4190751445086711</v>
      </c>
    </row>
    <row r="36" spans="2:11" x14ac:dyDescent="0.35">
      <c r="G36" s="43"/>
    </row>
    <row r="37" spans="2:11" x14ac:dyDescent="0.35">
      <c r="F37" s="11" t="s">
        <v>40</v>
      </c>
      <c r="G37" s="11"/>
    </row>
    <row r="38" spans="2:11" x14ac:dyDescent="0.35">
      <c r="H38" s="11" t="s">
        <v>41</v>
      </c>
    </row>
  </sheetData>
  <mergeCells count="2">
    <mergeCell ref="M19:O19"/>
    <mergeCell ref="B2:K2"/>
  </mergeCells>
  <conditionalFormatting sqref="H4:H35">
    <cfRule type="cellIs" dxfId="2" priority="2" operator="greaterThan">
      <formula>$N$10/1000*$N$11</formula>
    </cfRule>
  </conditionalFormatting>
  <conditionalFormatting sqref="G4:G36">
    <cfRule type="cellIs" dxfId="1" priority="1" operator="lessThan">
      <formula>$N$16</formula>
    </cfRule>
  </conditionalFormatting>
  <conditionalFormatting sqref="F4:F35">
    <cfRule type="cellIs" dxfId="0" priority="14" operator="between">
      <formula>0</formula>
      <formula>$N$22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AFF9-1F43-40BD-BD89-61BF0CE5890D}">
  <dimension ref="B2:K16"/>
  <sheetViews>
    <sheetView zoomScale="115" zoomScaleNormal="115" workbookViewId="0">
      <selection activeCell="D20" sqref="D20"/>
    </sheetView>
  </sheetViews>
  <sheetFormatPr baseColWidth="10" defaultRowHeight="14.5" x14ac:dyDescent="0.35"/>
  <cols>
    <col min="1" max="1" width="3" customWidth="1"/>
    <col min="2" max="2" width="13.90625" bestFit="1" customWidth="1"/>
    <col min="3" max="3" width="18.26953125" bestFit="1" customWidth="1"/>
    <col min="4" max="4" width="15.90625" bestFit="1" customWidth="1"/>
    <col min="5" max="5" width="17.36328125" bestFit="1" customWidth="1"/>
    <col min="6" max="6" width="23" bestFit="1" customWidth="1"/>
    <col min="7" max="7" width="10.26953125" customWidth="1"/>
    <col min="8" max="8" width="2.1796875" customWidth="1"/>
    <col min="9" max="9" width="15" bestFit="1" customWidth="1"/>
    <col min="10" max="10" width="5.90625" bestFit="1" customWidth="1"/>
    <col min="11" max="11" width="6.08984375" bestFit="1" customWidth="1"/>
  </cols>
  <sheetData>
    <row r="2" spans="2:11" x14ac:dyDescent="0.35">
      <c r="B2" s="37" t="s">
        <v>63</v>
      </c>
      <c r="C2" s="37"/>
      <c r="D2" s="37"/>
      <c r="E2" s="37"/>
      <c r="F2" s="37"/>
      <c r="G2" s="37"/>
    </row>
    <row r="3" spans="2:11" x14ac:dyDescent="0.35">
      <c r="B3" s="33" t="s">
        <v>61</v>
      </c>
      <c r="C3" s="33" t="s">
        <v>60</v>
      </c>
      <c r="D3" s="33" t="s">
        <v>59</v>
      </c>
      <c r="E3" s="33" t="s">
        <v>64</v>
      </c>
      <c r="F3" s="33" t="s">
        <v>67</v>
      </c>
      <c r="G3" s="33" t="s">
        <v>68</v>
      </c>
      <c r="I3" s="8" t="s">
        <v>55</v>
      </c>
      <c r="J3" s="2">
        <v>200</v>
      </c>
      <c r="K3" s="3" t="s">
        <v>52</v>
      </c>
    </row>
    <row r="4" spans="2:11" x14ac:dyDescent="0.35">
      <c r="B4" s="9">
        <f>0.1*1000</f>
        <v>100</v>
      </c>
      <c r="C4" s="6">
        <f>B4*$J$7*$J$7/1000/1000*$J$6/100</f>
        <v>0.34199999999999997</v>
      </c>
      <c r="D4" s="9">
        <f>$J$7*B4/1000</f>
        <v>6</v>
      </c>
      <c r="E4" s="9">
        <f>D4/$J$12</f>
        <v>7.4472727272727273</v>
      </c>
      <c r="F4" s="9">
        <f>D4/$J$12*$J$13</f>
        <v>476.62545454545455</v>
      </c>
      <c r="G4" s="6">
        <f>$J$7/F4*1000</f>
        <v>125.885009765625</v>
      </c>
      <c r="I4" s="8" t="s">
        <v>54</v>
      </c>
      <c r="J4" s="2">
        <v>90</v>
      </c>
      <c r="K4" s="3" t="s">
        <v>52</v>
      </c>
    </row>
    <row r="5" spans="2:11" x14ac:dyDescent="0.35">
      <c r="B5" s="44">
        <f>B4+100</f>
        <v>200</v>
      </c>
      <c r="C5" s="39">
        <f>B5*$J$7*$J$7/1000/1000*$J$6/100</f>
        <v>0.68399999999999994</v>
      </c>
      <c r="D5" s="44">
        <f>$J$7*B5/1000</f>
        <v>12</v>
      </c>
      <c r="E5" s="44">
        <f>D5/$J$12</f>
        <v>14.894545454545455</v>
      </c>
      <c r="F5" s="44">
        <f>D5/$J$12*$J$13</f>
        <v>953.25090909090909</v>
      </c>
      <c r="G5" s="39">
        <f>$J$7/F5*1000</f>
        <v>62.9425048828125</v>
      </c>
      <c r="I5" s="8" t="s">
        <v>51</v>
      </c>
      <c r="J5" s="2">
        <v>0.01</v>
      </c>
      <c r="K5" s="3" t="s">
        <v>52</v>
      </c>
    </row>
    <row r="6" spans="2:11" x14ac:dyDescent="0.35">
      <c r="B6" s="44">
        <v>250</v>
      </c>
      <c r="C6" s="39">
        <f>B6*$J$7*$J$7/1000/1000*$J$6/100</f>
        <v>0.85499999999999998</v>
      </c>
      <c r="D6" s="44">
        <f>$J$7*B6/1000</f>
        <v>15</v>
      </c>
      <c r="E6" s="44">
        <f>D6/$J$12</f>
        <v>18.618181818181817</v>
      </c>
      <c r="F6" s="44">
        <f>D6/$J$12*$J$13</f>
        <v>1191.5636363636363</v>
      </c>
      <c r="G6" s="39">
        <f>$J$7/F6*1000</f>
        <v>50.35400390625</v>
      </c>
      <c r="I6" s="8" t="s">
        <v>57</v>
      </c>
      <c r="J6" s="31">
        <v>95</v>
      </c>
      <c r="K6" s="32" t="s">
        <v>33</v>
      </c>
    </row>
    <row r="7" spans="2:11" x14ac:dyDescent="0.35">
      <c r="B7" s="9">
        <f>B5+100</f>
        <v>300</v>
      </c>
      <c r="C7" s="6">
        <f>B7*$J$7*$J$7/1000/1000*$J$6/100</f>
        <v>1.026</v>
      </c>
      <c r="D7" s="9">
        <f>$J$7*B7/1000</f>
        <v>18</v>
      </c>
      <c r="E7" s="9">
        <f>D7/$J$12</f>
        <v>22.341818181818184</v>
      </c>
      <c r="F7" s="9">
        <f>D7/$J$12*$J$13</f>
        <v>1429.8763636363637</v>
      </c>
      <c r="G7" s="6">
        <f>$J$7/F7*1000</f>
        <v>41.961669921875</v>
      </c>
      <c r="I7" s="8" t="s">
        <v>56</v>
      </c>
      <c r="J7" s="2">
        <v>60</v>
      </c>
      <c r="K7" s="3" t="s">
        <v>52</v>
      </c>
    </row>
    <row r="8" spans="2:11" x14ac:dyDescent="0.35">
      <c r="B8" s="9">
        <f t="shared" ref="B8:B14" si="0">B7+100</f>
        <v>400</v>
      </c>
      <c r="C8" s="6">
        <f>B8*$J$7*$J$7/1000/1000*$J$6/100</f>
        <v>1.3679999999999999</v>
      </c>
      <c r="D8" s="9">
        <f>$J$7*B8/1000</f>
        <v>24</v>
      </c>
      <c r="E8" s="9">
        <f>D8/$J$12</f>
        <v>29.789090909090909</v>
      </c>
      <c r="F8" s="9">
        <f>D8/$J$12*$J$13</f>
        <v>1906.5018181818182</v>
      </c>
      <c r="G8" s="6">
        <f>$J$7/F8*1000</f>
        <v>31.47125244140625</v>
      </c>
    </row>
    <row r="9" spans="2:11" x14ac:dyDescent="0.35">
      <c r="B9" s="9">
        <f t="shared" si="0"/>
        <v>500</v>
      </c>
      <c r="C9" s="6">
        <f>B9*$J$7*$J$7/1000/1000*$J$6/100</f>
        <v>1.71</v>
      </c>
      <c r="D9" s="9">
        <f>$J$7*B9/1000</f>
        <v>30</v>
      </c>
      <c r="E9" s="9">
        <f>D9/$J$12</f>
        <v>37.236363636363635</v>
      </c>
      <c r="F9" s="9">
        <f>D9/$J$12*$J$13</f>
        <v>2383.1272727272726</v>
      </c>
      <c r="G9" s="6">
        <f>$J$7/F9*1000</f>
        <v>25.177001953125</v>
      </c>
      <c r="I9" s="8" t="s">
        <v>53</v>
      </c>
      <c r="J9" s="2">
        <v>3.3</v>
      </c>
      <c r="K9" s="3" t="s">
        <v>2</v>
      </c>
    </row>
    <row r="10" spans="2:11" x14ac:dyDescent="0.35">
      <c r="B10" s="9">
        <f t="shared" si="0"/>
        <v>600</v>
      </c>
      <c r="C10" s="6">
        <f>B10*$J$7*$J$7/1000/1000*$J$6/100</f>
        <v>2.052</v>
      </c>
      <c r="D10" s="9">
        <f>$J$7*B10/1000</f>
        <v>36</v>
      </c>
      <c r="E10" s="9">
        <f>D10/$J$12</f>
        <v>44.683636363636367</v>
      </c>
      <c r="F10" s="9">
        <f>D10/$J$12*$J$13</f>
        <v>2859.7527272727275</v>
      </c>
      <c r="G10" s="6">
        <f>$J$7/F10*1000</f>
        <v>20.9808349609375</v>
      </c>
      <c r="I10" s="8" t="s">
        <v>27</v>
      </c>
      <c r="J10" s="2">
        <v>12</v>
      </c>
      <c r="K10" s="3" t="s">
        <v>28</v>
      </c>
    </row>
    <row r="11" spans="2:11" x14ac:dyDescent="0.35">
      <c r="B11" s="9">
        <f t="shared" si="0"/>
        <v>700</v>
      </c>
      <c r="C11" s="6">
        <f>B11*$J$7*$J$7/1000/1000*$J$6/100</f>
        <v>2.3940000000000001</v>
      </c>
      <c r="D11" s="9">
        <f>$J$7*B11/1000</f>
        <v>42</v>
      </c>
      <c r="E11" s="9">
        <f>D11/$J$12</f>
        <v>52.130909090909093</v>
      </c>
      <c r="F11" s="9">
        <f>D11/$J$12*$J$13</f>
        <v>3336.3781818181819</v>
      </c>
      <c r="G11" s="6">
        <f>$J$7/F11*1000</f>
        <v>17.983572823660712</v>
      </c>
      <c r="I11" s="8" t="s">
        <v>27</v>
      </c>
      <c r="J11" s="2">
        <f>2^J10</f>
        <v>4096</v>
      </c>
      <c r="K11" s="3" t="s">
        <v>29</v>
      </c>
    </row>
    <row r="12" spans="2:11" x14ac:dyDescent="0.35">
      <c r="B12" s="9">
        <f t="shared" si="0"/>
        <v>800</v>
      </c>
      <c r="C12" s="6">
        <f>B12*$J$7*$J$7/1000/1000*$J$6/100</f>
        <v>2.7359999999999998</v>
      </c>
      <c r="D12" s="9">
        <f>$J$7*B12/1000</f>
        <v>48</v>
      </c>
      <c r="E12" s="9">
        <f>D12/$J$12</f>
        <v>59.578181818181818</v>
      </c>
      <c r="F12" s="9">
        <f>D12/$J$12*$J$13</f>
        <v>3813.0036363636364</v>
      </c>
      <c r="G12" s="6">
        <f>$J$7/F12*1000</f>
        <v>15.735626220703125</v>
      </c>
      <c r="I12" s="8" t="s">
        <v>27</v>
      </c>
      <c r="J12" s="7">
        <f>J9/J11*1000</f>
        <v>0.8056640625</v>
      </c>
      <c r="K12" s="3" t="s">
        <v>65</v>
      </c>
    </row>
    <row r="13" spans="2:11" x14ac:dyDescent="0.35">
      <c r="B13" s="9">
        <f t="shared" si="0"/>
        <v>900</v>
      </c>
      <c r="C13" s="6">
        <f>B13*$J$7*$J$7/1000/1000*$J$6/100</f>
        <v>3.0780000000000003</v>
      </c>
      <c r="D13" s="9">
        <f>$J$7*B13/1000</f>
        <v>54</v>
      </c>
      <c r="E13" s="9">
        <f>D13/$J$12</f>
        <v>67.025454545454551</v>
      </c>
      <c r="F13" s="9">
        <f>D13/$J$12*$J$13</f>
        <v>4289.6290909090912</v>
      </c>
      <c r="G13" s="6">
        <f>$J$7/F13*1000</f>
        <v>13.987223307291666</v>
      </c>
      <c r="I13" s="8" t="s">
        <v>66</v>
      </c>
      <c r="J13" s="9">
        <v>64</v>
      </c>
      <c r="K13" s="3" t="s">
        <v>6</v>
      </c>
    </row>
    <row r="14" spans="2:11" x14ac:dyDescent="0.35">
      <c r="B14" s="9">
        <f t="shared" si="0"/>
        <v>1000</v>
      </c>
      <c r="C14" s="6">
        <f>B14*$J$7*$J$7/1000/1000*$J$6/100</f>
        <v>3.42</v>
      </c>
      <c r="D14" s="9">
        <f>$J$7*B14/1000</f>
        <v>60</v>
      </c>
      <c r="E14" s="9">
        <f>D14/$J$12</f>
        <v>74.472727272727269</v>
      </c>
      <c r="F14" s="9">
        <f>D14/$J$12*$J$13</f>
        <v>4766.2545454545452</v>
      </c>
      <c r="G14" s="6">
        <f>$J$7/F14*1000</f>
        <v>12.5885009765625</v>
      </c>
    </row>
    <row r="16" spans="2:11" x14ac:dyDescent="0.35">
      <c r="D16" s="38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Vsensing computation</vt:lpstr>
      <vt:lpstr>Isensing computation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BINON Stepane</dc:creator>
  <cp:lastModifiedBy>BINON Stepane</cp:lastModifiedBy>
  <dcterms:created xsi:type="dcterms:W3CDTF">2026-02-03T11:31:37Z</dcterms:created>
  <dcterms:modified xsi:type="dcterms:W3CDTF">2026-02-07T01:28:25Z</dcterms:modified>
</cp:coreProperties>
</file>