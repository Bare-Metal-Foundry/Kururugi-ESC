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118D09B4-FACA-48A3-86D7-2102D8B55911}" xr6:coauthVersionLast="47" xr6:coauthVersionMax="47" xr10:uidLastSave="{00000000-0000-0000-0000-000000000000}"/>
  <bookViews>
    <workbookView xWindow="-110" yWindow="-110" windowWidth="25820" windowHeight="15500" xr2:uid="{A7311F5B-F8BB-4208-8795-7C9379CFEF1C}"/>
  </bookViews>
  <sheets>
    <sheet name="Vsensing comput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H26" i="1"/>
  <c r="J26" i="1" s="1"/>
  <c r="G26" i="1"/>
  <c r="M13" i="1"/>
  <c r="M12" i="1"/>
  <c r="M20" i="1"/>
  <c r="Q3" i="1"/>
  <c r="Q4" i="1" s="1"/>
  <c r="Q5" i="1" s="1"/>
  <c r="M5" i="1"/>
  <c r="C8" i="1" s="1"/>
  <c r="H8" i="1" s="1"/>
  <c r="I8" i="1" s="1"/>
  <c r="M18" i="1"/>
  <c r="E26" i="1" l="1"/>
  <c r="F26" i="1"/>
  <c r="I26" i="1"/>
  <c r="M21" i="1"/>
  <c r="M22" i="1" s="1"/>
  <c r="J8" i="1"/>
  <c r="C24" i="1"/>
  <c r="D24" i="1" s="1"/>
  <c r="F24" i="1" s="1"/>
  <c r="C13" i="1"/>
  <c r="D8" i="1"/>
  <c r="F8" i="1" s="1"/>
  <c r="C10" i="1"/>
  <c r="H10" i="1" s="1"/>
  <c r="C9" i="1"/>
  <c r="H9" i="1" s="1"/>
  <c r="C7" i="1"/>
  <c r="H7" i="1" s="1"/>
  <c r="C5" i="1"/>
  <c r="H5" i="1" s="1"/>
  <c r="C6" i="1"/>
  <c r="H6" i="1" s="1"/>
  <c r="C12" i="1"/>
  <c r="H12" i="1" s="1"/>
  <c r="C11" i="1"/>
  <c r="H11" i="1" s="1"/>
  <c r="C4" i="1"/>
  <c r="H4" i="1" s="1"/>
  <c r="C22" i="1"/>
  <c r="H22" i="1" s="1"/>
  <c r="C23" i="1"/>
  <c r="H23" i="1" s="1"/>
  <c r="C20" i="1"/>
  <c r="H20" i="1" s="1"/>
  <c r="C21" i="1"/>
  <c r="H21" i="1" s="1"/>
  <c r="C15" i="1"/>
  <c r="H15" i="1" s="1"/>
  <c r="C19" i="1"/>
  <c r="H19" i="1" s="1"/>
  <c r="C18" i="1"/>
  <c r="H18" i="1" s="1"/>
  <c r="C17" i="1"/>
  <c r="H17" i="1" s="1"/>
  <c r="C16" i="1"/>
  <c r="H16" i="1" s="1"/>
  <c r="C14" i="1"/>
  <c r="H14" i="1" s="1"/>
  <c r="H24" i="1" l="1"/>
  <c r="J24" i="1" s="1"/>
  <c r="E24" i="1"/>
  <c r="G24" i="1"/>
  <c r="D10" i="1"/>
  <c r="F10" i="1" s="1"/>
  <c r="J11" i="1"/>
  <c r="I11" i="1"/>
  <c r="J6" i="1"/>
  <c r="I6" i="1"/>
  <c r="J16" i="1"/>
  <c r="I16" i="1"/>
  <c r="J18" i="1"/>
  <c r="I18" i="1"/>
  <c r="I15" i="1"/>
  <c r="J15" i="1"/>
  <c r="J21" i="1"/>
  <c r="I21" i="1"/>
  <c r="I12" i="1"/>
  <c r="J12" i="1"/>
  <c r="J7" i="1"/>
  <c r="I7" i="1"/>
  <c r="I10" i="1"/>
  <c r="J10" i="1"/>
  <c r="I14" i="1"/>
  <c r="J14" i="1"/>
  <c r="J17" i="1"/>
  <c r="I17" i="1"/>
  <c r="G8" i="1"/>
  <c r="J4" i="1"/>
  <c r="I4" i="1"/>
  <c r="I5" i="1"/>
  <c r="J5" i="1"/>
  <c r="J9" i="1"/>
  <c r="I9" i="1"/>
  <c r="J19" i="1"/>
  <c r="I19" i="1"/>
  <c r="I20" i="1"/>
  <c r="J20" i="1"/>
  <c r="J23" i="1"/>
  <c r="I23" i="1"/>
  <c r="I22" i="1"/>
  <c r="J22" i="1"/>
  <c r="E8" i="1"/>
  <c r="D9" i="1"/>
  <c r="F9" i="1" s="1"/>
  <c r="D13" i="1"/>
  <c r="F13" i="1" s="1"/>
  <c r="H13" i="1"/>
  <c r="D7" i="1"/>
  <c r="F7" i="1" s="1"/>
  <c r="D4" i="1"/>
  <c r="F4" i="1" s="1"/>
  <c r="D6" i="1"/>
  <c r="F6" i="1" s="1"/>
  <c r="D11" i="1"/>
  <c r="F11" i="1" s="1"/>
  <c r="D12" i="1"/>
  <c r="F12" i="1" s="1"/>
  <c r="D5" i="1"/>
  <c r="F5" i="1" s="1"/>
  <c r="D19" i="1"/>
  <c r="F19" i="1" s="1"/>
  <c r="D14" i="1"/>
  <c r="F14" i="1" s="1"/>
  <c r="D16" i="1"/>
  <c r="F16" i="1" s="1"/>
  <c r="D17" i="1"/>
  <c r="F17" i="1" s="1"/>
  <c r="D18" i="1"/>
  <c r="F18" i="1" s="1"/>
  <c r="D15" i="1"/>
  <c r="F15" i="1" s="1"/>
  <c r="D21" i="1"/>
  <c r="F21" i="1" s="1"/>
  <c r="D20" i="1"/>
  <c r="F20" i="1" s="1"/>
  <c r="D23" i="1"/>
  <c r="F23" i="1" s="1"/>
  <c r="D22" i="1"/>
  <c r="F22" i="1" s="1"/>
  <c r="E9" i="1" l="1"/>
  <c r="I24" i="1"/>
  <c r="E10" i="1"/>
  <c r="G10" i="1"/>
  <c r="G22" i="1"/>
  <c r="G9" i="1"/>
  <c r="G18" i="1"/>
  <c r="G17" i="1"/>
  <c r="G7" i="1"/>
  <c r="G23" i="1"/>
  <c r="G13" i="1"/>
  <c r="G21" i="1"/>
  <c r="G19" i="1"/>
  <c r="G5" i="1"/>
  <c r="G12" i="1"/>
  <c r="J13" i="1"/>
  <c r="I13" i="1"/>
  <c r="G20" i="1"/>
  <c r="G15" i="1"/>
  <c r="G16" i="1"/>
  <c r="G14" i="1"/>
  <c r="G11" i="1"/>
  <c r="G6" i="1"/>
  <c r="G4" i="1"/>
  <c r="E13" i="1"/>
  <c r="E7" i="1"/>
  <c r="E5" i="1"/>
  <c r="E12" i="1"/>
  <c r="E11" i="1"/>
  <c r="E6" i="1"/>
  <c r="E4" i="1"/>
  <c r="E22" i="1"/>
  <c r="E21" i="1"/>
  <c r="E16" i="1"/>
  <c r="E23" i="1"/>
  <c r="E20" i="1"/>
  <c r="E15" i="1"/>
  <c r="E18" i="1"/>
  <c r="E17" i="1"/>
  <c r="E14" i="1"/>
  <c r="E19" i="1"/>
</calcChain>
</file>

<file path=xl/sharedStrings.xml><?xml version="1.0" encoding="utf-8"?>
<sst xmlns="http://schemas.openxmlformats.org/spreadsheetml/2006/main" count="69" uniqueCount="55">
  <si>
    <t>R1 (kOhm)</t>
  </si>
  <si>
    <t>R2 (kOhm)</t>
  </si>
  <si>
    <t>Vth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</si>
  <si>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</si>
  <si>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</si>
  <si>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</si>
  <si>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</si>
  <si>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</si>
  <si>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</si>
  <si>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</si>
  <si>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</si>
  <si>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</si>
  <si>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</si>
  <si>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</si>
  <si>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</si>
  <si>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</si>
  <si>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</si>
  <si>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</si>
  <si>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</si>
  <si>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</si>
  <si>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</si>
  <si>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</si>
  <si>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</si>
  <si>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Vphmax</t>
  </si>
  <si>
    <t>Vphmean</t>
  </si>
  <si>
    <t>security factor (S)</t>
  </si>
  <si>
    <t>S*RC (ns)</t>
  </si>
  <si>
    <t>tsamp &gt; S*RC</t>
  </si>
  <si>
    <t>Current source for the ADC STM32G484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</si>
  <si>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</si>
  <si>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</si>
  <si>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</si>
  <si>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</si>
  <si>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</si>
  <si>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</si>
  <si>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</si>
  <si>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</si>
  <si>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</si>
  <si>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</si>
  <si>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</si>
  <si>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</si>
  <si>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</si>
  <si>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</si>
  <si>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</si>
  <si>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</si>
  <si>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</si>
  <si>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Biggest frequency (Fmax)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</si>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</sst>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000"/>
    <numFmt numFmtId="167" formatCode="0.0000"/>
    <numFmt numFmtId="168" formatCode="0.000"/>
    <numFmt numFmtId="169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0" fontId="0" fillId="2" borderId="1" xfId="0" applyFill="1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Fill="1" applyBorder="1"/>
    <xf numFmtId="0" fontId="0" fillId="0" borderId="0" xfId="0" applyFill="1"/>
    <xf numFmtId="0" fontId="1" fillId="0" borderId="0" xfId="0" applyFont="1" applyFill="1" applyBorder="1"/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Fill="1" applyBorder="1"/>
    <xf numFmtId="167" fontId="0" fillId="0" borderId="1" xfId="0" applyNumberFormat="1" applyBorder="1" applyAlignment="1">
      <alignment horizontal="center"/>
    </xf>
    <xf numFmtId="0" fontId="0" fillId="0" borderId="6" xfId="0" applyFill="1" applyBorder="1"/>
    <xf numFmtId="0" fontId="2" fillId="4" borderId="10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6" fontId="0" fillId="0" borderId="1" xfId="0" applyNumberForma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69" fontId="0" fillId="0" borderId="1" xfId="0" applyNumberFormat="1" applyFill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169" fontId="2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68" fontId="2" fillId="6" borderId="1" xfId="0" applyNumberFormat="1" applyFont="1" applyFill="1" applyBorder="1" applyAlignment="1">
      <alignment horizontal="center"/>
    </xf>
    <xf numFmtId="168" fontId="2" fillId="6" borderId="0" xfId="0" applyNumberFormat="1" applyFont="1" applyFill="1" applyBorder="1" applyAlignment="1">
      <alignment horizontal="center"/>
    </xf>
    <xf numFmtId="169" fontId="2" fillId="6" borderId="0" xfId="0" applyNumberFormat="1" applyFont="1" applyFill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2" fontId="2" fillId="6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dimension ref="B2:R29"/>
  <sheetViews>
    <sheetView tabSelected="1" zoomScale="115" zoomScaleNormal="115" workbookViewId="0">
      <selection activeCell="J30" sqref="J30"/>
    </sheetView>
  </sheetViews>
  <sheetFormatPr baseColWidth="10" defaultRowHeight="14.5" x14ac:dyDescent="0.35"/>
  <cols>
    <col min="1" max="1" width="3.453125" customWidth="1"/>
    <col min="2" max="2" width="9.36328125" customWidth="1"/>
    <col min="3" max="3" width="10.453125" customWidth="1"/>
    <col min="4" max="4" width="10.7265625" customWidth="1"/>
    <col min="5" max="5" width="8" customWidth="1"/>
    <col min="6" max="6" width="8.7265625" bestFit="1" customWidth="1"/>
    <col min="7" max="7" width="13.7265625" bestFit="1" customWidth="1"/>
    <col min="8" max="8" width="11.6328125" bestFit="1" customWidth="1"/>
    <col min="9" max="10" width="17.453125" bestFit="1" customWidth="1"/>
    <col min="11" max="11" width="2.81640625" bestFit="1" customWidth="1"/>
    <col min="12" max="12" width="20.81640625" customWidth="1"/>
    <col min="13" max="13" width="9.6328125" customWidth="1"/>
    <col min="14" max="14" width="6" bestFit="1" customWidth="1"/>
    <col min="15" max="15" width="2.26953125" customWidth="1"/>
    <col min="16" max="16" width="22" customWidth="1"/>
    <col min="18" max="18" width="6.08984375" bestFit="1" customWidth="1"/>
  </cols>
  <sheetData>
    <row r="2" spans="2:18" x14ac:dyDescent="0.35">
      <c r="B2" s="9" t="s">
        <v>28</v>
      </c>
      <c r="C2" s="10"/>
      <c r="D2" s="10"/>
      <c r="E2" s="10"/>
      <c r="F2" s="10"/>
      <c r="G2" s="10"/>
      <c r="H2" s="10"/>
      <c r="I2" s="10"/>
      <c r="J2" s="11"/>
      <c r="L2" s="8" t="s">
        <v>23</v>
      </c>
      <c r="M2" s="2">
        <v>45</v>
      </c>
      <c r="N2" s="3" t="s">
        <v>3</v>
      </c>
      <c r="P2" s="8" t="s">
        <v>31</v>
      </c>
      <c r="Q2" s="2">
        <v>12</v>
      </c>
      <c r="R2" s="3" t="s">
        <v>32</v>
      </c>
    </row>
    <row r="3" spans="2:18" x14ac:dyDescent="0.35">
      <c r="B3" s="4" t="s">
        <v>0</v>
      </c>
      <c r="C3" s="4" t="s">
        <v>1</v>
      </c>
      <c r="D3" s="4" t="s">
        <v>4</v>
      </c>
      <c r="E3" s="4" t="s">
        <v>5</v>
      </c>
      <c r="F3" s="4" t="s">
        <v>26</v>
      </c>
      <c r="G3" s="4" t="s">
        <v>41</v>
      </c>
      <c r="H3" s="4" t="s">
        <v>11</v>
      </c>
      <c r="I3" s="4" t="s">
        <v>49</v>
      </c>
      <c r="J3" s="4" t="s">
        <v>48</v>
      </c>
      <c r="L3" s="8" t="s">
        <v>24</v>
      </c>
      <c r="M3" s="2">
        <v>25</v>
      </c>
      <c r="N3" s="3" t="s">
        <v>3</v>
      </c>
      <c r="P3" s="8" t="s">
        <v>31</v>
      </c>
      <c r="Q3" s="2">
        <f>2^Q2</f>
        <v>4096</v>
      </c>
      <c r="R3" s="3" t="s">
        <v>33</v>
      </c>
    </row>
    <row r="4" spans="2:18" x14ac:dyDescent="0.35">
      <c r="B4" s="5">
        <v>0.1</v>
      </c>
      <c r="C4" s="5">
        <f>B4/$M$5</f>
        <v>1.2636363636363639</v>
      </c>
      <c r="D4" s="7">
        <f t="shared" ref="D4:D12" si="0">B4*C4/(B4+C4)</f>
        <v>9.2666666666666675E-2</v>
      </c>
      <c r="E4" s="7">
        <f>$M$4/D4</f>
        <v>35.611510791366904</v>
      </c>
      <c r="F4" s="12">
        <f>IF($M$9=0,$M$19*($M$8+$M$7)*D4,$M$19*(0.1)*D4)</f>
        <v>0.11120000000000002</v>
      </c>
      <c r="G4" s="6">
        <f>1/(($M$8+$M$7+$M$9)*D4)*1000</f>
        <v>22.250241044277978</v>
      </c>
      <c r="H4" s="7">
        <f>$M$3*$M$3/(C4+B4)</f>
        <v>458.3333333333332</v>
      </c>
      <c r="I4" s="7">
        <f>H4*$Q$7/1000</f>
        <v>36.666666666666657</v>
      </c>
      <c r="J4" s="7">
        <f>H4*$Q$8/1000</f>
        <v>68.749999999999986</v>
      </c>
      <c r="L4" s="8" t="s">
        <v>2</v>
      </c>
      <c r="M4" s="2">
        <v>3.3</v>
      </c>
      <c r="N4" s="3" t="s">
        <v>3</v>
      </c>
      <c r="P4" s="8" t="s">
        <v>31</v>
      </c>
      <c r="Q4" s="23">
        <f>M2/Q3</f>
        <v>1.0986328125E-2</v>
      </c>
      <c r="R4" s="3" t="s">
        <v>34</v>
      </c>
    </row>
    <row r="5" spans="2:18" x14ac:dyDescent="0.35">
      <c r="B5" s="5">
        <v>0.2</v>
      </c>
      <c r="C5" s="5">
        <f>B5/$M$5</f>
        <v>2.5272727272727278</v>
      </c>
      <c r="D5" s="7">
        <f t="shared" si="0"/>
        <v>0.18533333333333335</v>
      </c>
      <c r="E5" s="7">
        <f>$M$4/D5</f>
        <v>17.805755395683452</v>
      </c>
      <c r="F5" s="12">
        <f t="shared" ref="F5:F24" si="1">IF($M$9=0,$M$19*($M$8+$M$7)*D5,$M$19*(0.1)*D5)</f>
        <v>0.22240000000000004</v>
      </c>
      <c r="G5" s="6">
        <f t="shared" ref="G5:G23" si="2">1/(($M$8+$M$7+$M$9)*D5)*1000</f>
        <v>11.125120522138989</v>
      </c>
      <c r="H5" s="7">
        <f>$M$3*$M$3/(C5+B5)</f>
        <v>229.1666666666666</v>
      </c>
      <c r="I5" s="7">
        <f t="shared" ref="I5:I23" si="3">H5*$Q$7/1000</f>
        <v>18.333333333333329</v>
      </c>
      <c r="J5" s="7">
        <f>H5*$Q$8/1000</f>
        <v>34.374999999999993</v>
      </c>
      <c r="L5" s="8" t="s">
        <v>6</v>
      </c>
      <c r="M5" s="5">
        <f>M4/(M2-M4)</f>
        <v>7.9136690647482008E-2</v>
      </c>
      <c r="N5" s="3" t="s">
        <v>7</v>
      </c>
      <c r="P5" s="8" t="s">
        <v>35</v>
      </c>
      <c r="Q5" s="12">
        <f>M3/Q4</f>
        <v>2275.5555555555557</v>
      </c>
      <c r="R5" s="3" t="s">
        <v>33</v>
      </c>
    </row>
    <row r="6" spans="2:18" x14ac:dyDescent="0.35">
      <c r="B6" s="5">
        <v>0.3</v>
      </c>
      <c r="C6" s="5">
        <f>B6/$M$5</f>
        <v>3.790909090909091</v>
      </c>
      <c r="D6" s="7">
        <f t="shared" si="0"/>
        <v>0.27799999999999997</v>
      </c>
      <c r="E6" s="7">
        <f>$M$4/D6</f>
        <v>11.870503597122303</v>
      </c>
      <c r="F6" s="12">
        <f t="shared" si="1"/>
        <v>0.33360000000000001</v>
      </c>
      <c r="G6" s="6">
        <f t="shared" si="2"/>
        <v>7.4167470147593271</v>
      </c>
      <c r="H6" s="7">
        <f>$M$3*$M$3/(C6+B6)</f>
        <v>152.77777777777777</v>
      </c>
      <c r="I6" s="7">
        <f t="shared" si="3"/>
        <v>12.222222222222223</v>
      </c>
      <c r="J6" s="7">
        <f>H6*$Q$8/1000</f>
        <v>22.916666666666664</v>
      </c>
      <c r="M6" s="1"/>
    </row>
    <row r="7" spans="2:18" x14ac:dyDescent="0.35">
      <c r="B7" s="5">
        <v>0.4</v>
      </c>
      <c r="C7" s="5">
        <f>B7/$M$5</f>
        <v>5.0545454545454556</v>
      </c>
      <c r="D7" s="7">
        <f t="shared" si="0"/>
        <v>0.3706666666666667</v>
      </c>
      <c r="E7" s="7">
        <f>$M$4/D7</f>
        <v>8.9028776978417259</v>
      </c>
      <c r="F7" s="12">
        <f t="shared" si="1"/>
        <v>0.44480000000000008</v>
      </c>
      <c r="G7" s="6">
        <f t="shared" si="2"/>
        <v>5.5625602610694944</v>
      </c>
      <c r="H7" s="7">
        <f>$M$3*$M$3/(C7+B7)</f>
        <v>114.5833333333333</v>
      </c>
      <c r="I7" s="7">
        <f t="shared" si="3"/>
        <v>9.1666666666666643</v>
      </c>
      <c r="J7" s="7">
        <f>H7*$Q$8/1000</f>
        <v>17.187499999999996</v>
      </c>
      <c r="L7" s="8" t="s">
        <v>8</v>
      </c>
      <c r="M7" s="2">
        <v>5</v>
      </c>
      <c r="N7" s="3" t="s">
        <v>10</v>
      </c>
      <c r="P7" s="8" t="s">
        <v>50</v>
      </c>
      <c r="Q7" s="2">
        <v>80</v>
      </c>
      <c r="R7" s="3" t="s">
        <v>38</v>
      </c>
    </row>
    <row r="8" spans="2:18" x14ac:dyDescent="0.35">
      <c r="B8" s="5">
        <v>0.5</v>
      </c>
      <c r="C8" s="5">
        <f>B8/$M$5</f>
        <v>6.3181818181818183</v>
      </c>
      <c r="D8" s="7">
        <f t="shared" si="0"/>
        <v>0.46333333333333332</v>
      </c>
      <c r="E8" s="7">
        <f>$M$4/D8</f>
        <v>7.1223021582733814</v>
      </c>
      <c r="F8" s="12">
        <f t="shared" si="1"/>
        <v>0.55600000000000005</v>
      </c>
      <c r="G8" s="6">
        <f t="shared" si="2"/>
        <v>4.4500482088555957</v>
      </c>
      <c r="H8" s="7">
        <f>$M$3*$M$3/(C8+B8)</f>
        <v>91.666666666666671</v>
      </c>
      <c r="I8" s="7">
        <f t="shared" si="3"/>
        <v>7.3333333333333339</v>
      </c>
      <c r="J8" s="7">
        <f>H8*$Q$8/1000</f>
        <v>13.75</v>
      </c>
      <c r="L8" s="8" t="s">
        <v>9</v>
      </c>
      <c r="M8" s="2">
        <v>10</v>
      </c>
      <c r="N8" s="3" t="s">
        <v>10</v>
      </c>
      <c r="P8" s="8" t="s">
        <v>47</v>
      </c>
      <c r="Q8" s="2">
        <v>150</v>
      </c>
      <c r="R8" s="3" t="s">
        <v>38</v>
      </c>
    </row>
    <row r="9" spans="2:18" x14ac:dyDescent="0.35">
      <c r="B9" s="5">
        <v>0.6</v>
      </c>
      <c r="C9" s="5">
        <f>B9/$M$5</f>
        <v>7.581818181818182</v>
      </c>
      <c r="D9" s="7">
        <f t="shared" si="0"/>
        <v>0.55599999999999994</v>
      </c>
      <c r="E9" s="7">
        <f>$M$4/D9</f>
        <v>5.9352517985611515</v>
      </c>
      <c r="F9" s="12">
        <f t="shared" si="1"/>
        <v>0.66720000000000002</v>
      </c>
      <c r="G9" s="6">
        <f t="shared" si="2"/>
        <v>3.7083735073796635</v>
      </c>
      <c r="H9" s="7">
        <f>$M$3*$M$3/(C9+B9)</f>
        <v>76.388888888888886</v>
      </c>
      <c r="I9" s="7">
        <f t="shared" si="3"/>
        <v>6.1111111111111116</v>
      </c>
      <c r="J9" s="7">
        <f>H9*$Q$8/1000</f>
        <v>11.458333333333332</v>
      </c>
      <c r="L9" s="8" t="s">
        <v>42</v>
      </c>
      <c r="M9" s="26">
        <v>470</v>
      </c>
      <c r="N9" s="17" t="s">
        <v>10</v>
      </c>
      <c r="P9" s="8" t="s">
        <v>40</v>
      </c>
      <c r="Q9" s="26">
        <v>80</v>
      </c>
      <c r="R9" s="27" t="s">
        <v>39</v>
      </c>
    </row>
    <row r="10" spans="2:18" x14ac:dyDescent="0.35">
      <c r="B10" s="5">
        <v>0.7</v>
      </c>
      <c r="C10" s="5">
        <f>B10/$M$5</f>
        <v>8.8454545454545457</v>
      </c>
      <c r="D10" s="7">
        <f t="shared" si="0"/>
        <v>0.64866666666666661</v>
      </c>
      <c r="E10" s="7">
        <f>$M$4/D10</f>
        <v>5.0873586844809866</v>
      </c>
      <c r="F10" s="12">
        <f t="shared" si="1"/>
        <v>0.77840000000000009</v>
      </c>
      <c r="G10" s="6">
        <f t="shared" si="2"/>
        <v>3.1786058634682832</v>
      </c>
      <c r="H10" s="7">
        <f>$M$3*$M$3/(C10+B10)</f>
        <v>65.476190476190482</v>
      </c>
      <c r="I10" s="7">
        <f t="shared" si="3"/>
        <v>5.2380952380952381</v>
      </c>
      <c r="J10" s="7">
        <f>H10*$Q$8/1000</f>
        <v>9.821428571428573</v>
      </c>
      <c r="L10" s="8" t="s">
        <v>46</v>
      </c>
      <c r="M10" s="16">
        <v>128</v>
      </c>
      <c r="N10" s="17" t="s">
        <v>30</v>
      </c>
    </row>
    <row r="11" spans="2:18" x14ac:dyDescent="0.35">
      <c r="B11" s="5">
        <v>0.8</v>
      </c>
      <c r="C11" s="5">
        <f>B11/$M$5</f>
        <v>10.109090909090911</v>
      </c>
      <c r="D11" s="7">
        <f t="shared" si="0"/>
        <v>0.7413333333333334</v>
      </c>
      <c r="E11" s="7">
        <f>$M$4/D11</f>
        <v>4.4514388489208629</v>
      </c>
      <c r="F11" s="12">
        <f t="shared" si="1"/>
        <v>0.88960000000000017</v>
      </c>
      <c r="G11" s="6">
        <f t="shared" si="2"/>
        <v>2.7812801305347472</v>
      </c>
      <c r="H11" s="7">
        <f>$M$3*$M$3/(C11+B11)</f>
        <v>57.29166666666665</v>
      </c>
      <c r="I11" s="7">
        <f t="shared" si="3"/>
        <v>4.5833333333333321</v>
      </c>
      <c r="J11" s="7">
        <f>H11*$Q$8/1000</f>
        <v>8.5937499999999982</v>
      </c>
      <c r="L11" s="8" t="s">
        <v>51</v>
      </c>
      <c r="M11" s="16">
        <v>5</v>
      </c>
      <c r="N11" s="17" t="s">
        <v>7</v>
      </c>
      <c r="P11" s="13" t="s">
        <v>18</v>
      </c>
      <c r="Q11" s="14"/>
    </row>
    <row r="12" spans="2:18" x14ac:dyDescent="0.35">
      <c r="B12" s="5">
        <v>0.9</v>
      </c>
      <c r="C12" s="5">
        <f>B12/$M$5</f>
        <v>11.372727272727275</v>
      </c>
      <c r="D12" s="7">
        <f t="shared" si="0"/>
        <v>0.83400000000000007</v>
      </c>
      <c r="E12" s="7">
        <f>$M$4/D12</f>
        <v>3.9568345323741001</v>
      </c>
      <c r="F12" s="12">
        <f t="shared" si="1"/>
        <v>1.0008000000000001</v>
      </c>
      <c r="G12" s="6">
        <f t="shared" si="2"/>
        <v>2.4722490049197758</v>
      </c>
      <c r="H12" s="7">
        <f>$M$3*$M$3/(C12+B12)</f>
        <v>50.925925925925917</v>
      </c>
      <c r="I12" s="7">
        <f t="shared" si="3"/>
        <v>4.0740740740740735</v>
      </c>
      <c r="J12" s="7">
        <f>H12*$Q$8/1000</f>
        <v>7.6388888888888875</v>
      </c>
      <c r="L12" s="8" t="s">
        <v>52</v>
      </c>
      <c r="M12" s="6">
        <f>(1-1/SQRT(1+(M10/M11/M10)^2))*100</f>
        <v>1.9419324309079888</v>
      </c>
      <c r="N12" s="3" t="s">
        <v>37</v>
      </c>
      <c r="P12" s="13" t="s">
        <v>19</v>
      </c>
    </row>
    <row r="13" spans="2:18" x14ac:dyDescent="0.35">
      <c r="B13" s="5">
        <v>1</v>
      </c>
      <c r="C13" s="5">
        <f>B13/$M$5</f>
        <v>12.636363636363637</v>
      </c>
      <c r="D13" s="7">
        <f>B13*C13/(B13+C13)</f>
        <v>0.92666666666666664</v>
      </c>
      <c r="E13" s="7">
        <f>$M$4/D13</f>
        <v>3.5611510791366907</v>
      </c>
      <c r="F13" s="12">
        <f t="shared" si="1"/>
        <v>1.1120000000000001</v>
      </c>
      <c r="G13" s="6">
        <f t="shared" si="2"/>
        <v>2.2250241044277979</v>
      </c>
      <c r="H13" s="7">
        <f>$M$3*$M$3/(C13+B13)</f>
        <v>45.833333333333336</v>
      </c>
      <c r="I13" s="7">
        <f t="shared" si="3"/>
        <v>3.666666666666667</v>
      </c>
      <c r="J13" s="7">
        <f>H13*$Q$8/1000</f>
        <v>6.875</v>
      </c>
      <c r="L13" s="8" t="s">
        <v>53</v>
      </c>
      <c r="M13" s="12">
        <f>ATAN(M10/M11/M10)/PI()*180</f>
        <v>11.309932474020215</v>
      </c>
      <c r="N13" s="17" t="s">
        <v>54</v>
      </c>
      <c r="P13" s="15" t="s">
        <v>27</v>
      </c>
    </row>
    <row r="14" spans="2:18" ht="15" thickBot="1" x14ac:dyDescent="0.4">
      <c r="B14" s="5">
        <v>2</v>
      </c>
      <c r="C14" s="5">
        <f>B14/$M$5</f>
        <v>25.272727272727273</v>
      </c>
      <c r="D14" s="7">
        <f t="shared" ref="D14:D23" si="4">B14*C14/(B14+C14)</f>
        <v>1.8533333333333333</v>
      </c>
      <c r="E14" s="7">
        <f>$M$4/D14</f>
        <v>1.7805755395683454</v>
      </c>
      <c r="F14" s="12">
        <f t="shared" si="1"/>
        <v>2.2240000000000002</v>
      </c>
      <c r="G14" s="6">
        <f t="shared" si="2"/>
        <v>1.1125120522138989</v>
      </c>
      <c r="H14" s="7">
        <f>$M$3*$M$3/(C14+B14)</f>
        <v>22.916666666666668</v>
      </c>
      <c r="I14" s="7">
        <f t="shared" si="3"/>
        <v>1.8333333333333335</v>
      </c>
      <c r="J14" s="7">
        <f>H14*$Q$8/1000</f>
        <v>3.4375</v>
      </c>
    </row>
    <row r="15" spans="2:18" x14ac:dyDescent="0.35">
      <c r="B15" s="5">
        <v>3</v>
      </c>
      <c r="C15" s="5">
        <f>B15/$M$5</f>
        <v>37.909090909090914</v>
      </c>
      <c r="D15" s="7">
        <f t="shared" si="4"/>
        <v>2.7800000000000002</v>
      </c>
      <c r="E15" s="7">
        <f>$M$4/D15</f>
        <v>1.1870503597122299</v>
      </c>
      <c r="F15" s="12">
        <f t="shared" si="1"/>
        <v>3.3360000000000007</v>
      </c>
      <c r="G15" s="6">
        <f t="shared" si="2"/>
        <v>0.74167470147593262</v>
      </c>
      <c r="H15" s="7">
        <f>$M$3*$M$3/(C15+B15)</f>
        <v>15.277777777777777</v>
      </c>
      <c r="I15" s="7">
        <f t="shared" si="3"/>
        <v>1.2222222222222221</v>
      </c>
      <c r="J15" s="7">
        <f>H15*$Q$8/1000</f>
        <v>2.2916666666666665</v>
      </c>
      <c r="L15" s="25" t="s">
        <v>29</v>
      </c>
      <c r="M15" s="29"/>
      <c r="N15" s="30"/>
      <c r="P15" t="s">
        <v>20</v>
      </c>
    </row>
    <row r="16" spans="2:18" x14ac:dyDescent="0.35">
      <c r="B16" s="5">
        <v>4</v>
      </c>
      <c r="C16" s="5">
        <f>B16/$M$5</f>
        <v>50.545454545454547</v>
      </c>
      <c r="D16" s="7">
        <f t="shared" si="4"/>
        <v>3.7066666666666666</v>
      </c>
      <c r="E16" s="7">
        <f>$M$4/D16</f>
        <v>0.89028776978417268</v>
      </c>
      <c r="F16" s="12">
        <f t="shared" si="1"/>
        <v>4.4480000000000004</v>
      </c>
      <c r="G16" s="6">
        <f t="shared" si="2"/>
        <v>0.55625602610694946</v>
      </c>
      <c r="H16" s="7">
        <f>$M$3*$M$3/(C16+B16)</f>
        <v>11.458333333333334</v>
      </c>
      <c r="I16" s="7">
        <f t="shared" si="3"/>
        <v>0.91666666666666674</v>
      </c>
      <c r="J16" s="7">
        <f>H16*$Q$8/1000</f>
        <v>1.71875</v>
      </c>
      <c r="L16" s="19" t="s">
        <v>12</v>
      </c>
      <c r="M16" s="2">
        <v>2.5</v>
      </c>
      <c r="N16" s="20" t="s">
        <v>15</v>
      </c>
      <c r="P16" t="s">
        <v>21</v>
      </c>
    </row>
    <row r="17" spans="2:16" x14ac:dyDescent="0.35">
      <c r="B17" s="5">
        <v>5</v>
      </c>
      <c r="C17" s="5">
        <f>B17/$M$5</f>
        <v>63.181818181818187</v>
      </c>
      <c r="D17" s="7">
        <f t="shared" si="4"/>
        <v>4.6333333333333337</v>
      </c>
      <c r="E17" s="7">
        <f>$M$4/D17</f>
        <v>0.71223021582733803</v>
      </c>
      <c r="F17" s="12">
        <f t="shared" si="1"/>
        <v>5.5600000000000014</v>
      </c>
      <c r="G17" s="6">
        <f t="shared" si="2"/>
        <v>0.44500482088555954</v>
      </c>
      <c r="H17" s="7">
        <f>$M$3*$M$3/(C17+B17)</f>
        <v>9.1666666666666661</v>
      </c>
      <c r="I17" s="7">
        <f t="shared" si="3"/>
        <v>0.73333333333333328</v>
      </c>
      <c r="J17" s="7">
        <f>H17*$Q$8/1000</f>
        <v>1.375</v>
      </c>
      <c r="L17" s="19" t="s">
        <v>13</v>
      </c>
      <c r="M17" s="2">
        <v>60</v>
      </c>
      <c r="N17" s="20" t="s">
        <v>14</v>
      </c>
      <c r="P17" t="s">
        <v>22</v>
      </c>
    </row>
    <row r="18" spans="2:16" x14ac:dyDescent="0.35">
      <c r="B18" s="5">
        <v>6</v>
      </c>
      <c r="C18" s="5">
        <f>B18/$M$5</f>
        <v>75.818181818181827</v>
      </c>
      <c r="D18" s="7">
        <f t="shared" si="4"/>
        <v>5.5600000000000005</v>
      </c>
      <c r="E18" s="7">
        <f>$M$4/D18</f>
        <v>0.59352517985611497</v>
      </c>
      <c r="F18" s="12">
        <f t="shared" si="1"/>
        <v>6.6720000000000015</v>
      </c>
      <c r="G18" s="6">
        <f t="shared" si="2"/>
        <v>0.37083735073796631</v>
      </c>
      <c r="H18" s="7">
        <f>$M$3*$M$3/(C18+B18)</f>
        <v>7.6388888888888884</v>
      </c>
      <c r="I18" s="7">
        <f t="shared" si="3"/>
        <v>0.61111111111111105</v>
      </c>
      <c r="J18" s="7">
        <f>H18*$Q$8/1000</f>
        <v>1.1458333333333333</v>
      </c>
      <c r="L18" s="19" t="s">
        <v>17</v>
      </c>
      <c r="M18" s="7">
        <f>M16/M17*1000</f>
        <v>41.666666666666664</v>
      </c>
      <c r="N18" s="20" t="s">
        <v>16</v>
      </c>
    </row>
    <row r="19" spans="2:16" x14ac:dyDescent="0.35">
      <c r="B19" s="5">
        <v>7</v>
      </c>
      <c r="C19" s="5">
        <f>B19/$M$5</f>
        <v>88.454545454545467</v>
      </c>
      <c r="D19" s="7">
        <f t="shared" si="4"/>
        <v>6.4866666666666664</v>
      </c>
      <c r="E19" s="7">
        <f>$M$4/D19</f>
        <v>0.5087358684480987</v>
      </c>
      <c r="F19" s="12">
        <f t="shared" si="1"/>
        <v>7.7840000000000007</v>
      </c>
      <c r="G19" s="6">
        <f t="shared" si="2"/>
        <v>0.31786058634682829</v>
      </c>
      <c r="H19" s="7">
        <f>$M$3*$M$3/(C19+B19)</f>
        <v>6.5476190476190466</v>
      </c>
      <c r="I19" s="7">
        <f t="shared" si="3"/>
        <v>0.52380952380952372</v>
      </c>
      <c r="J19" s="7">
        <f>H19*$Q$8/1000</f>
        <v>0.98214285714285698</v>
      </c>
      <c r="L19" s="19" t="s">
        <v>25</v>
      </c>
      <c r="M19" s="16">
        <v>12</v>
      </c>
      <c r="N19" s="24" t="s">
        <v>7</v>
      </c>
    </row>
    <row r="20" spans="2:16" x14ac:dyDescent="0.35">
      <c r="B20" s="5">
        <v>8</v>
      </c>
      <c r="C20" s="5">
        <f>B20/$M$5</f>
        <v>101.09090909090909</v>
      </c>
      <c r="D20" s="7">
        <f t="shared" si="4"/>
        <v>7.4133333333333331</v>
      </c>
      <c r="E20" s="7">
        <f>$M$4/D20</f>
        <v>0.44514388489208634</v>
      </c>
      <c r="F20" s="12">
        <f t="shared" si="1"/>
        <v>8.8960000000000008</v>
      </c>
      <c r="G20" s="6">
        <f t="shared" si="2"/>
        <v>0.27812801305347473</v>
      </c>
      <c r="H20" s="7">
        <f>$M$3*$M$3/(C20+B20)</f>
        <v>5.729166666666667</v>
      </c>
      <c r="I20" s="7">
        <f t="shared" si="3"/>
        <v>0.45833333333333337</v>
      </c>
      <c r="J20" s="7">
        <f>H20*$Q$8/1000</f>
        <v>0.859375</v>
      </c>
      <c r="L20" s="19" t="s">
        <v>36</v>
      </c>
      <c r="M20" s="28">
        <f>(EXP(-M19))*100</f>
        <v>6.1442123533282102E-4</v>
      </c>
      <c r="N20" s="24" t="s">
        <v>37</v>
      </c>
    </row>
    <row r="21" spans="2:16" x14ac:dyDescent="0.35">
      <c r="B21" s="5">
        <v>9</v>
      </c>
      <c r="C21" s="5">
        <f>B21/$M$5</f>
        <v>113.72727272727273</v>
      </c>
      <c r="D21" s="7">
        <f t="shared" si="4"/>
        <v>8.34</v>
      </c>
      <c r="E21" s="7">
        <f>$M$4/D21</f>
        <v>0.39568345323741005</v>
      </c>
      <c r="F21" s="12">
        <f t="shared" si="1"/>
        <v>10.008000000000001</v>
      </c>
      <c r="G21" s="6">
        <f t="shared" si="2"/>
        <v>0.24722490049197751</v>
      </c>
      <c r="H21" s="7">
        <f>$M$3*$M$3/(C21+B21)</f>
        <v>5.0925925925925926</v>
      </c>
      <c r="I21" s="7">
        <f t="shared" si="3"/>
        <v>0.40740740740740738</v>
      </c>
      <c r="J21" s="7">
        <f>H21*$Q$8/1000</f>
        <v>0.76388888888888895</v>
      </c>
      <c r="L21" s="19" t="s">
        <v>36</v>
      </c>
      <c r="M21" s="31">
        <f>M20*Q3</f>
        <v>2.5166693799232349</v>
      </c>
      <c r="N21" s="24" t="s">
        <v>33</v>
      </c>
    </row>
    <row r="22" spans="2:16" ht="15" thickBot="1" x14ac:dyDescent="0.4">
      <c r="B22" s="5">
        <v>10</v>
      </c>
      <c r="C22" s="5">
        <f>B22/$M$5</f>
        <v>126.36363636363637</v>
      </c>
      <c r="D22" s="7">
        <f t="shared" si="4"/>
        <v>9.2666666666666675</v>
      </c>
      <c r="E22" s="7">
        <f>$M$4/D22</f>
        <v>0.35611510791366902</v>
      </c>
      <c r="F22" s="12">
        <f t="shared" si="1"/>
        <v>11.120000000000003</v>
      </c>
      <c r="G22" s="6">
        <f t="shared" si="2"/>
        <v>0.22250241044277977</v>
      </c>
      <c r="H22" s="7">
        <f>$M$3*$M$3/(C22+B22)</f>
        <v>4.583333333333333</v>
      </c>
      <c r="I22" s="7">
        <f t="shared" si="3"/>
        <v>0.36666666666666664</v>
      </c>
      <c r="J22" s="7">
        <f>H22*$Q$8/1000</f>
        <v>0.6875</v>
      </c>
      <c r="L22" s="21" t="s">
        <v>43</v>
      </c>
      <c r="M22" s="32">
        <f>M21/Q5</f>
        <v>1.1059582235990778E-3</v>
      </c>
      <c r="N22" s="22" t="s">
        <v>37</v>
      </c>
    </row>
    <row r="23" spans="2:16" x14ac:dyDescent="0.35">
      <c r="B23" s="5">
        <v>20</v>
      </c>
      <c r="C23" s="5">
        <f>B23/$M$5</f>
        <v>252.72727272727275</v>
      </c>
      <c r="D23" s="7">
        <f t="shared" si="4"/>
        <v>18.533333333333335</v>
      </c>
      <c r="E23" s="7">
        <f>$M$4/D23</f>
        <v>0.17805755395683451</v>
      </c>
      <c r="F23" s="12">
        <f t="shared" si="1"/>
        <v>22.240000000000006</v>
      </c>
      <c r="G23" s="6">
        <f t="shared" si="2"/>
        <v>0.11125120522138988</v>
      </c>
      <c r="H23" s="7">
        <f>$M$3*$M$3/(C23+B23)</f>
        <v>2.2916666666666665</v>
      </c>
      <c r="I23" s="7">
        <f t="shared" si="3"/>
        <v>0.18333333333333332</v>
      </c>
      <c r="J23" s="7">
        <f>H23*$Q$8/1000</f>
        <v>0.34375</v>
      </c>
    </row>
    <row r="24" spans="2:16" x14ac:dyDescent="0.35">
      <c r="B24" s="36">
        <v>3.47</v>
      </c>
      <c r="C24" s="36">
        <f>B24/$M$5</f>
        <v>43.848181818181821</v>
      </c>
      <c r="D24" s="36">
        <f>B24*C24/(B24+C24)</f>
        <v>3.215533333333334</v>
      </c>
      <c r="E24" s="33">
        <f>$M$4/D24</f>
        <v>1.026268322517778</v>
      </c>
      <c r="F24" s="35">
        <f t="shared" si="1"/>
        <v>3.8586400000000012</v>
      </c>
      <c r="G24" s="34">
        <f>1/(($M$8+$M$7+$M$9)*D24)*1000</f>
        <v>0.64121732116074859</v>
      </c>
      <c r="H24" s="33">
        <f>$M$3*$M$3/(C24+B24)</f>
        <v>13.208453410182516</v>
      </c>
      <c r="I24" s="33">
        <f>H24*$Q$7/1000</f>
        <v>1.0566762728146013</v>
      </c>
      <c r="J24" s="33">
        <f>H24*$Q$8/1000</f>
        <v>1.9812680115273775</v>
      </c>
    </row>
    <row r="25" spans="2:16" ht="3" customHeight="1" x14ac:dyDescent="0.35">
      <c r="B25" s="37"/>
      <c r="C25" s="37"/>
      <c r="D25" s="37"/>
      <c r="E25" s="38"/>
      <c r="F25" s="39"/>
      <c r="G25" s="40"/>
      <c r="H25" s="38"/>
      <c r="I25" s="38"/>
      <c r="J25" s="38"/>
    </row>
    <row r="26" spans="2:16" x14ac:dyDescent="0.35">
      <c r="B26" s="36">
        <v>3.48</v>
      </c>
      <c r="C26" s="36">
        <v>43.2</v>
      </c>
      <c r="D26" s="36">
        <f>B26*C26/(B26+C26)</f>
        <v>3.2205655526992292</v>
      </c>
      <c r="E26" s="33">
        <f>$M$4/D26</f>
        <v>1.0246647509578541</v>
      </c>
      <c r="F26" s="35">
        <f t="shared" ref="F26" si="5">IF($M$9=0,$M$19*($M$8+$M$7)*D26,$M$19*(0.1)*D26)</f>
        <v>3.8646786632390757</v>
      </c>
      <c r="G26" s="34">
        <f>1/(($M$8+$M$7+$M$9)*D26)*1000</f>
        <v>0.64021540203552274</v>
      </c>
      <c r="H26" s="33">
        <f>$M$3*$M$3/(C26+B26)</f>
        <v>13.389031705227078</v>
      </c>
      <c r="I26" s="33">
        <f>H26*$Q$7/1000</f>
        <v>1.0711225364181662</v>
      </c>
      <c r="J26" s="33">
        <f>H26*$Q$8/1000</f>
        <v>2.0083547557840618</v>
      </c>
    </row>
    <row r="27" spans="2:16" ht="3" customHeight="1" x14ac:dyDescent="0.35"/>
    <row r="28" spans="2:16" x14ac:dyDescent="0.35">
      <c r="F28" s="18" t="s">
        <v>44</v>
      </c>
    </row>
    <row r="29" spans="2:16" x14ac:dyDescent="0.35">
      <c r="G29" s="18" t="s">
        <v>45</v>
      </c>
    </row>
  </sheetData>
  <mergeCells count="2">
    <mergeCell ref="L15:N15"/>
    <mergeCell ref="B2:J2"/>
  </mergeCells>
  <conditionalFormatting sqref="G4:G23">
    <cfRule type="cellIs" dxfId="2" priority="3" operator="greaterThan">
      <formula>$M$10/1000*$M$11</formula>
    </cfRule>
  </conditionalFormatting>
  <conditionalFormatting sqref="G24:G26">
    <cfRule type="cellIs" dxfId="1" priority="1" operator="greaterThan">
      <formula>$M$10/1000*$M$11</formula>
    </cfRule>
  </conditionalFormatting>
  <conditionalFormatting sqref="F4:F26">
    <cfRule type="cellIs" dxfId="0" priority="9" operator="between">
      <formula>0</formula>
      <formula>$M$18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Vsensing computation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2026-02-03T13:51:22Z</dcterms:modified>
</cp:coreProperties>
</file>