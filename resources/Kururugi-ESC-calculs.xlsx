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non\Desktop\Kururugi-ESC-Dev-Board\resources\"/>
    </mc:Choice>
  </mc:AlternateContent>
  <xr:revisionPtr revIDLastSave="0" documentId="13_ncr:1_{1FF53580-F5FA-433E-97EB-BF377AD1935A}" xr6:coauthVersionLast="47" xr6:coauthVersionMax="47" xr10:uidLastSave="{00000000-0000-0000-0000-000000000000}"/>
  <bookViews>
    <workbookView xWindow="5775" yWindow="-16320" windowWidth="29040" windowHeight="15720" activeTab="1" xr2:uid="{A7311F5B-F8BB-4208-8795-7C9379CFEF1C}"/>
  </bookViews>
  <sheets>
    <sheet name="HMI" sheetId="6" r:id="rId1"/>
    <sheet name="CAL_Rv1-2" sheetId="25" r:id="rId2"/>
    <sheet name="CAL_VSENSE" sheetId="1" r:id="rId3"/>
    <sheet name="CAL_Rshunt" sheetId="21" r:id="rId4"/>
    <sheet name="CAL_Cboot" sheetId="18" r:id="rId5"/>
    <sheet name="CAL_Rg" sheetId="20" r:id="rId6"/>
    <sheet name="CAL_ISENSE_ARCH" sheetId="2" state="hidden" r:id="rId7"/>
    <sheet name="DB_LIMITS" sheetId="9" r:id="rId8"/>
    <sheet name="DB_R" sheetId="26" r:id="rId9"/>
    <sheet name="DB_D" sheetId="19" r:id="rId10"/>
    <sheet name="DB_GD" sheetId="17" r:id="rId11"/>
    <sheet name="DB_FETS" sheetId="7" r:id="rId12"/>
    <sheet name="DB_ADC" sheetId="11" r:id="rId13"/>
    <sheet name="Mosfet" sheetId="3" state="hidden" r:id="rId14"/>
  </sheets>
  <definedNames>
    <definedName name="Radc">HMI!$T$18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25" l="1"/>
  <c r="D16" i="25"/>
  <c r="C16" i="25"/>
  <c r="N28" i="25"/>
  <c r="M28" i="25"/>
  <c r="M26" i="25"/>
  <c r="M25" i="25"/>
  <c r="N24" i="25"/>
  <c r="M24" i="25"/>
  <c r="D14" i="25"/>
  <c r="C14" i="25"/>
  <c r="D13" i="25"/>
  <c r="N17" i="25" s="1"/>
  <c r="C13" i="25"/>
  <c r="M17" i="25" s="1"/>
  <c r="D12" i="25"/>
  <c r="N18" i="25" s="1"/>
  <c r="C12" i="25"/>
  <c r="M18" i="25" s="1"/>
  <c r="N12" i="6"/>
  <c r="M12" i="6"/>
  <c r="F2" i="11"/>
  <c r="A2" i="26"/>
  <c r="C2" i="26"/>
  <c r="M22" i="6"/>
  <c r="M11" i="25"/>
  <c r="M10" i="25"/>
  <c r="M9" i="25"/>
  <c r="M21" i="6"/>
  <c r="J4" i="25"/>
  <c r="J3" i="25"/>
  <c r="J2" i="25"/>
  <c r="M20" i="6"/>
  <c r="J11" i="25"/>
  <c r="C6" i="25"/>
  <c r="G22" i="25" s="1"/>
  <c r="J12" i="25"/>
  <c r="J10" i="25"/>
  <c r="M23" i="6"/>
  <c r="J21" i="25"/>
  <c r="D11" i="25"/>
  <c r="K23" i="25" s="1"/>
  <c r="C11" i="25"/>
  <c r="J23" i="25" s="1"/>
  <c r="G20" i="25"/>
  <c r="G19" i="25"/>
  <c r="N11" i="6"/>
  <c r="D15" i="25" s="1"/>
  <c r="N27" i="25" s="1"/>
  <c r="M11" i="6"/>
  <c r="C15" i="25" s="1"/>
  <c r="M27" i="25" s="1"/>
  <c r="A3" i="26"/>
  <c r="A4" i="26"/>
  <c r="A5" i="26"/>
  <c r="A6" i="26"/>
  <c r="A7" i="26"/>
  <c r="A8" i="26"/>
  <c r="A9" i="26"/>
  <c r="A10" i="26"/>
  <c r="A11" i="26"/>
  <c r="A12" i="26"/>
  <c r="A13" i="26"/>
  <c r="A14" i="26"/>
  <c r="A15" i="26"/>
  <c r="A16" i="26"/>
  <c r="A17" i="26"/>
  <c r="A18" i="26"/>
  <c r="A19" i="26"/>
  <c r="A20" i="26"/>
  <c r="A21" i="26"/>
  <c r="A22" i="26"/>
  <c r="A23" i="26"/>
  <c r="A24" i="26"/>
  <c r="A25" i="26"/>
  <c r="A26" i="26"/>
  <c r="A27" i="26"/>
  <c r="A28" i="26"/>
  <c r="A51" i="26"/>
  <c r="A52" i="26"/>
  <c r="A53" i="26"/>
  <c r="A56" i="26"/>
  <c r="A57" i="26"/>
  <c r="A67" i="26"/>
  <c r="A68" i="26"/>
  <c r="A71" i="26"/>
  <c r="C3" i="26"/>
  <c r="C4" i="26"/>
  <c r="C5" i="26"/>
  <c r="C6" i="26"/>
  <c r="C7" i="26"/>
  <c r="C8" i="26"/>
  <c r="C9" i="26"/>
  <c r="C10" i="26"/>
  <c r="C11" i="26"/>
  <c r="C12" i="26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29" i="26"/>
  <c r="A29" i="26" s="1"/>
  <c r="C30" i="26"/>
  <c r="A30" i="26" s="1"/>
  <c r="C31" i="26"/>
  <c r="A31" i="26" s="1"/>
  <c r="C32" i="26"/>
  <c r="A32" i="26" s="1"/>
  <c r="C33" i="26"/>
  <c r="A33" i="26" s="1"/>
  <c r="C34" i="26"/>
  <c r="A34" i="26" s="1"/>
  <c r="C35" i="26"/>
  <c r="A35" i="26" s="1"/>
  <c r="C36" i="26"/>
  <c r="A36" i="26" s="1"/>
  <c r="C37" i="26"/>
  <c r="A37" i="26" s="1"/>
  <c r="C38" i="26"/>
  <c r="A38" i="26" s="1"/>
  <c r="C39" i="26"/>
  <c r="A39" i="26" s="1"/>
  <c r="C40" i="26"/>
  <c r="A40" i="26" s="1"/>
  <c r="C41" i="26"/>
  <c r="A41" i="26" s="1"/>
  <c r="C42" i="26"/>
  <c r="A42" i="26" s="1"/>
  <c r="C43" i="26"/>
  <c r="A43" i="26" s="1"/>
  <c r="C44" i="26"/>
  <c r="A44" i="26" s="1"/>
  <c r="C45" i="26"/>
  <c r="A45" i="26" s="1"/>
  <c r="C46" i="26"/>
  <c r="A46" i="26" s="1"/>
  <c r="C47" i="26"/>
  <c r="A47" i="26" s="1"/>
  <c r="C48" i="26"/>
  <c r="A48" i="26" s="1"/>
  <c r="C49" i="26"/>
  <c r="A49" i="26" s="1"/>
  <c r="C50" i="26"/>
  <c r="A50" i="26" s="1"/>
  <c r="C51" i="26"/>
  <c r="C52" i="26"/>
  <c r="C53" i="26"/>
  <c r="C54" i="26"/>
  <c r="A54" i="26" s="1"/>
  <c r="C55" i="26"/>
  <c r="A55" i="26" s="1"/>
  <c r="C56" i="26"/>
  <c r="C57" i="26"/>
  <c r="C58" i="26"/>
  <c r="A58" i="26" s="1"/>
  <c r="C59" i="26"/>
  <c r="A59" i="26" s="1"/>
  <c r="C60" i="26"/>
  <c r="A60" i="26" s="1"/>
  <c r="C61" i="26"/>
  <c r="A61" i="26" s="1"/>
  <c r="C62" i="26"/>
  <c r="A62" i="26" s="1"/>
  <c r="C63" i="26"/>
  <c r="A63" i="26" s="1"/>
  <c r="C64" i="26"/>
  <c r="A64" i="26" s="1"/>
  <c r="C65" i="26"/>
  <c r="A65" i="26" s="1"/>
  <c r="C66" i="26"/>
  <c r="A66" i="26" s="1"/>
  <c r="C67" i="26"/>
  <c r="C68" i="26"/>
  <c r="C69" i="26"/>
  <c r="A69" i="26" s="1"/>
  <c r="C70" i="26"/>
  <c r="A70" i="26" s="1"/>
  <c r="C71" i="26"/>
  <c r="C72" i="26"/>
  <c r="A72" i="26" s="1"/>
  <c r="C73" i="26"/>
  <c r="A73" i="26" s="1"/>
  <c r="C74" i="26"/>
  <c r="A74" i="26" s="1"/>
  <c r="C75" i="26"/>
  <c r="A75" i="26" s="1"/>
  <c r="C76" i="26"/>
  <c r="A76" i="26" s="1"/>
  <c r="C77" i="26"/>
  <c r="A77" i="26" s="1"/>
  <c r="C78" i="26"/>
  <c r="A78" i="26" s="1"/>
  <c r="M2" i="25"/>
  <c r="G11" i="25"/>
  <c r="M19" i="6"/>
  <c r="M3" i="25"/>
  <c r="G12" i="25"/>
  <c r="G2" i="25"/>
  <c r="D21" i="25"/>
  <c r="C19" i="25"/>
  <c r="M4" i="6"/>
  <c r="M6" i="6" s="1"/>
  <c r="M24" i="6"/>
  <c r="C21" i="25"/>
  <c r="M18" i="6"/>
  <c r="C18" i="25"/>
  <c r="D19" i="25"/>
  <c r="D4" i="21"/>
  <c r="D9" i="21" s="1"/>
  <c r="C10" i="25"/>
  <c r="G4" i="25" s="1"/>
  <c r="D9" i="25"/>
  <c r="D10" i="25" s="1"/>
  <c r="H4" i="25" s="1"/>
  <c r="C9" i="25"/>
  <c r="C5" i="25"/>
  <c r="G3" i="25" s="1"/>
  <c r="D4" i="25"/>
  <c r="J13" i="6"/>
  <c r="B8" i="20"/>
  <c r="E12" i="20" s="1"/>
  <c r="D12" i="21"/>
  <c r="K5" i="21" s="1"/>
  <c r="J16" i="6"/>
  <c r="J15" i="6"/>
  <c r="J14" i="6"/>
  <c r="D16" i="21"/>
  <c r="K3" i="21" s="1"/>
  <c r="C18" i="21"/>
  <c r="J2" i="21" s="1"/>
  <c r="C2" i="11"/>
  <c r="G23" i="21"/>
  <c r="G9" i="21"/>
  <c r="D17" i="21"/>
  <c r="H10" i="21" s="1"/>
  <c r="K4" i="21" s="1"/>
  <c r="C17" i="21"/>
  <c r="G10" i="21" s="1"/>
  <c r="J4" i="21" s="1"/>
  <c r="C16" i="21"/>
  <c r="J3" i="21" s="1"/>
  <c r="D15" i="21"/>
  <c r="D18" i="21" s="1"/>
  <c r="K2" i="21" s="1"/>
  <c r="C15" i="21"/>
  <c r="K8" i="6"/>
  <c r="J8" i="6"/>
  <c r="C12" i="21"/>
  <c r="G2" i="21" s="1"/>
  <c r="G34" i="6"/>
  <c r="O11" i="20"/>
  <c r="O4" i="20"/>
  <c r="G24" i="20"/>
  <c r="B18" i="20"/>
  <c r="H25" i="20" s="1"/>
  <c r="A18" i="20"/>
  <c r="G25" i="20" s="1"/>
  <c r="G36" i="6"/>
  <c r="G35" i="6"/>
  <c r="G33" i="6"/>
  <c r="G32" i="6"/>
  <c r="O12" i="20"/>
  <c r="O3" i="20"/>
  <c r="O2" i="20"/>
  <c r="J14" i="20"/>
  <c r="G10" i="20"/>
  <c r="D20" i="20"/>
  <c r="J6" i="20"/>
  <c r="J5" i="20"/>
  <c r="J4" i="20"/>
  <c r="J3" i="20"/>
  <c r="A11" i="18"/>
  <c r="D4" i="18" s="1"/>
  <c r="A22" i="20"/>
  <c r="G16" i="20" s="1"/>
  <c r="B21" i="20"/>
  <c r="B22" i="20" s="1"/>
  <c r="H16" i="20" s="1"/>
  <c r="G3" i="20"/>
  <c r="A15" i="20"/>
  <c r="D19" i="20" s="1"/>
  <c r="A14" i="20"/>
  <c r="D18" i="20" s="1"/>
  <c r="A13" i="20"/>
  <c r="D11" i="20" s="1"/>
  <c r="A12" i="20"/>
  <c r="D10" i="20" s="1"/>
  <c r="B11" i="20"/>
  <c r="B15" i="20" s="1"/>
  <c r="E19" i="20" s="1"/>
  <c r="K6" i="20" s="1"/>
  <c r="B7" i="20"/>
  <c r="E2" i="20" s="1"/>
  <c r="A8" i="20"/>
  <c r="D3" i="20" s="1"/>
  <c r="J13" i="20" s="1"/>
  <c r="A7" i="20"/>
  <c r="D2" i="20" s="1"/>
  <c r="B2" i="20"/>
  <c r="B4" i="20" s="1"/>
  <c r="H18" i="20" s="1"/>
  <c r="M23" i="18"/>
  <c r="G22" i="6"/>
  <c r="A17" i="20" s="1"/>
  <c r="G23" i="6"/>
  <c r="G21" i="6"/>
  <c r="G24" i="6"/>
  <c r="G20" i="6"/>
  <c r="A16" i="20" s="1"/>
  <c r="G9" i="20" s="1"/>
  <c r="G19" i="6"/>
  <c r="B19" i="18"/>
  <c r="K10" i="18" s="1"/>
  <c r="A19" i="18"/>
  <c r="J10" i="18" s="1"/>
  <c r="B18" i="18"/>
  <c r="K11" i="18" s="1"/>
  <c r="A18" i="18"/>
  <c r="J11" i="18" s="1"/>
  <c r="B2" i="18"/>
  <c r="B4" i="18" s="1"/>
  <c r="H14" i="18" s="1"/>
  <c r="N3" i="18" s="1"/>
  <c r="B5" i="18"/>
  <c r="N4" i="18" s="1"/>
  <c r="A5" i="18"/>
  <c r="M4" i="18" s="1"/>
  <c r="B29" i="18"/>
  <c r="N11" i="18" s="1"/>
  <c r="A29" i="18"/>
  <c r="M11" i="18" s="1"/>
  <c r="B26" i="18"/>
  <c r="H3" i="18" s="1"/>
  <c r="A26" i="18"/>
  <c r="G3" i="18" s="1"/>
  <c r="B12" i="18"/>
  <c r="E2" i="18" s="1"/>
  <c r="E11" i="18" s="1"/>
  <c r="A12" i="18"/>
  <c r="D2" i="18" s="1"/>
  <c r="B22" i="18"/>
  <c r="B23" i="18" s="1"/>
  <c r="E5" i="18" s="1"/>
  <c r="E19" i="18" s="1"/>
  <c r="B8" i="18"/>
  <c r="B9" i="18" s="1"/>
  <c r="G2" i="18"/>
  <c r="M22" i="18"/>
  <c r="A15" i="18"/>
  <c r="M12" i="18" s="1"/>
  <c r="M20" i="18"/>
  <c r="M21" i="18"/>
  <c r="M19" i="18"/>
  <c r="D12" i="18"/>
  <c r="D19" i="18"/>
  <c r="J2" i="18"/>
  <c r="J3" i="18"/>
  <c r="G12" i="18"/>
  <c r="A14" i="18"/>
  <c r="G11" i="18" s="1"/>
  <c r="A13" i="18"/>
  <c r="G10" i="18" s="1"/>
  <c r="B32" i="18"/>
  <c r="B33" i="18" s="1"/>
  <c r="H9" i="18" s="1"/>
  <c r="A23" i="18"/>
  <c r="D3" i="18"/>
  <c r="B6" i="6"/>
  <c r="B5" i="6"/>
  <c r="T7" i="9"/>
  <c r="W7" i="9" s="1"/>
  <c r="L7" i="9"/>
  <c r="K7" i="9"/>
  <c r="E5" i="6"/>
  <c r="R2" i="1"/>
  <c r="N20" i="1"/>
  <c r="N17" i="1"/>
  <c r="D35" i="1" s="1"/>
  <c r="N16" i="1"/>
  <c r="N23" i="1"/>
  <c r="N9" i="1"/>
  <c r="N7" i="1"/>
  <c r="B11" i="6"/>
  <c r="D5" i="25" s="1"/>
  <c r="H3" i="25" s="1"/>
  <c r="B9" i="6"/>
  <c r="B10" i="6"/>
  <c r="A11" i="6"/>
  <c r="A9" i="6"/>
  <c r="T3" i="9"/>
  <c r="W3" i="9" s="1"/>
  <c r="L3" i="9"/>
  <c r="K3" i="9"/>
  <c r="T5" i="9"/>
  <c r="W5" i="9" s="1"/>
  <c r="L5" i="9"/>
  <c r="K5" i="9"/>
  <c r="T4" i="9"/>
  <c r="W4" i="9" s="1"/>
  <c r="L4" i="9"/>
  <c r="K4" i="9"/>
  <c r="E8" i="6"/>
  <c r="A10" i="6"/>
  <c r="A12" i="6"/>
  <c r="M2" i="1" s="1"/>
  <c r="D6" i="6"/>
  <c r="D7" i="6"/>
  <c r="D5" i="6"/>
  <c r="A33" i="18" s="1"/>
  <c r="G9" i="18" s="1"/>
  <c r="E6" i="6"/>
  <c r="D8" i="6"/>
  <c r="E7" i="6"/>
  <c r="D5" i="7"/>
  <c r="E5" i="7"/>
  <c r="E13" i="6"/>
  <c r="D13" i="6"/>
  <c r="E12" i="6"/>
  <c r="D12" i="6"/>
  <c r="D11" i="6"/>
  <c r="E11" i="6"/>
  <c r="E4" i="6"/>
  <c r="D4" i="6"/>
  <c r="A16" i="6"/>
  <c r="C7" i="21" s="1"/>
  <c r="J13" i="21" s="1"/>
  <c r="T6" i="9"/>
  <c r="W6" i="9" s="1"/>
  <c r="T2" i="9"/>
  <c r="W2" i="9" s="1"/>
  <c r="L6" i="9"/>
  <c r="K6" i="9"/>
  <c r="J12" i="2"/>
  <c r="J9" i="2"/>
  <c r="J10" i="2" s="1"/>
  <c r="Q7" i="6"/>
  <c r="Q13" i="6" s="1"/>
  <c r="P7" i="6"/>
  <c r="Q6" i="6"/>
  <c r="P6" i="6"/>
  <c r="Q5" i="6"/>
  <c r="P5" i="6"/>
  <c r="Q4" i="6"/>
  <c r="J8" i="2" s="1"/>
  <c r="P4" i="6"/>
  <c r="D42" i="1"/>
  <c r="B42" i="1"/>
  <c r="S6" i="6"/>
  <c r="T6" i="6"/>
  <c r="T25" i="6" s="1"/>
  <c r="G42" i="1" a="1"/>
  <c r="G42" i="1" s="1"/>
  <c r="H42" i="1" s="1"/>
  <c r="S24" i="6"/>
  <c r="S23" i="6"/>
  <c r="S17" i="6"/>
  <c r="T5" i="6"/>
  <c r="S5" i="6"/>
  <c r="G2" i="11"/>
  <c r="T7" i="6"/>
  <c r="T12" i="6" s="1"/>
  <c r="T4" i="6"/>
  <c r="N4" i="1" s="1"/>
  <c r="S7" i="6"/>
  <c r="S4" i="6"/>
  <c r="A7" i="6"/>
  <c r="A8" i="6"/>
  <c r="M3" i="1" s="1"/>
  <c r="A6" i="6"/>
  <c r="A4" i="18" s="1"/>
  <c r="G14" i="18" s="1"/>
  <c r="M3" i="18" s="1"/>
  <c r="A5" i="6"/>
  <c r="A3" i="18" s="1"/>
  <c r="G13" i="18" s="1"/>
  <c r="M2" i="18" s="1"/>
  <c r="A4" i="6"/>
  <c r="L2" i="9"/>
  <c r="K2" i="9"/>
  <c r="E14" i="6"/>
  <c r="E10" i="6"/>
  <c r="E9" i="6"/>
  <c r="D14" i="6"/>
  <c r="D10" i="6"/>
  <c r="D9" i="6"/>
  <c r="D10" i="3"/>
  <c r="D11" i="3"/>
  <c r="D12" i="3" s="1"/>
  <c r="N19" i="25" l="1"/>
  <c r="K7" i="21"/>
  <c r="J22" i="25"/>
  <c r="K22" i="25"/>
  <c r="J24" i="25"/>
  <c r="K24" i="25"/>
  <c r="G21" i="25"/>
  <c r="H21" i="25"/>
  <c r="D22" i="25"/>
  <c r="D20" i="25"/>
  <c r="K4" i="25" s="1"/>
  <c r="N4" i="6"/>
  <c r="N6" i="6"/>
  <c r="G13" i="25"/>
  <c r="H13" i="25"/>
  <c r="D5" i="21"/>
  <c r="H3" i="21" s="1"/>
  <c r="D6" i="21"/>
  <c r="K21" i="21" s="1"/>
  <c r="D7" i="21"/>
  <c r="K13" i="21" s="1"/>
  <c r="D8" i="21"/>
  <c r="K12" i="21"/>
  <c r="K20" i="21" s="1"/>
  <c r="H2" i="21"/>
  <c r="K14" i="6"/>
  <c r="J5" i="21"/>
  <c r="J12" i="21"/>
  <c r="J20" i="21" s="1"/>
  <c r="K14" i="21"/>
  <c r="G24" i="21"/>
  <c r="H24" i="21"/>
  <c r="C9" i="21"/>
  <c r="G17" i="21"/>
  <c r="H17" i="21"/>
  <c r="N21" i="1"/>
  <c r="R7" i="1" s="1"/>
  <c r="A3" i="20"/>
  <c r="J2" i="20" s="1"/>
  <c r="J12" i="20" s="1"/>
  <c r="A4" i="20"/>
  <c r="G18" i="20" s="1"/>
  <c r="E3" i="20"/>
  <c r="K13" i="20" s="1"/>
  <c r="G17" i="20"/>
  <c r="G2" i="20"/>
  <c r="D12" i="20"/>
  <c r="B12" i="20"/>
  <c r="E10" i="20" s="1"/>
  <c r="K3" i="20" s="1"/>
  <c r="B14" i="20"/>
  <c r="E18" i="20" s="1"/>
  <c r="B13" i="20"/>
  <c r="E11" i="20" s="1"/>
  <c r="B3" i="20"/>
  <c r="K2" i="20" s="1"/>
  <c r="K12" i="20" s="1"/>
  <c r="B3" i="18"/>
  <c r="H13" i="18" s="1"/>
  <c r="N2" i="18" s="1"/>
  <c r="N6" i="18" s="1"/>
  <c r="B15" i="18"/>
  <c r="N12" i="18" s="1"/>
  <c r="N14" i="18" s="1"/>
  <c r="N22" i="18" s="1"/>
  <c r="E18" i="18"/>
  <c r="E21" i="18" s="1"/>
  <c r="H20" i="6" s="1"/>
  <c r="B16" i="20" s="1"/>
  <c r="H17" i="20" s="1"/>
  <c r="H20" i="20" s="1"/>
  <c r="H24" i="20" s="1"/>
  <c r="H27" i="20" s="1"/>
  <c r="D18" i="18"/>
  <c r="D11" i="18"/>
  <c r="B13" i="18"/>
  <c r="H10" i="18" s="1"/>
  <c r="B14" i="18"/>
  <c r="H11" i="18" s="1"/>
  <c r="B10" i="18"/>
  <c r="E3" i="18" s="1"/>
  <c r="B11" i="18"/>
  <c r="E4" i="18" s="1"/>
  <c r="H35" i="1"/>
  <c r="J11" i="2"/>
  <c r="E35" i="1"/>
  <c r="B4" i="2"/>
  <c r="B5" i="2" s="1"/>
  <c r="R3" i="1"/>
  <c r="N11" i="25" l="1"/>
  <c r="N25" i="25"/>
  <c r="K12" i="25"/>
  <c r="N3" i="25"/>
  <c r="H20" i="25"/>
  <c r="H12" i="25"/>
  <c r="H2" i="25"/>
  <c r="H5" i="25" s="1"/>
  <c r="H6" i="25" s="1"/>
  <c r="H5" i="21"/>
  <c r="H9" i="21" s="1"/>
  <c r="H12" i="21" s="1"/>
  <c r="K16" i="21"/>
  <c r="K15" i="6" s="1"/>
  <c r="K22" i="21"/>
  <c r="J14" i="21"/>
  <c r="J22" i="21"/>
  <c r="H16" i="21"/>
  <c r="H19" i="21" s="1"/>
  <c r="H23" i="21" s="1"/>
  <c r="H26" i="21" s="1"/>
  <c r="K13" i="6" s="1"/>
  <c r="N22" i="1"/>
  <c r="R6" i="1" s="1"/>
  <c r="R8" i="1" s="1"/>
  <c r="E7" i="18"/>
  <c r="E12" i="18" s="1"/>
  <c r="E14" i="18" s="1"/>
  <c r="E5" i="20"/>
  <c r="E22" i="20" s="1"/>
  <c r="H10" i="20" s="1"/>
  <c r="H34" i="6"/>
  <c r="P11" i="20"/>
  <c r="P4" i="20"/>
  <c r="K4" i="20"/>
  <c r="E14" i="20"/>
  <c r="H3" i="20" s="1"/>
  <c r="K5" i="20"/>
  <c r="H9" i="20"/>
  <c r="H2" i="20"/>
  <c r="N21" i="18"/>
  <c r="H23" i="6"/>
  <c r="N19" i="18"/>
  <c r="H2" i="18"/>
  <c r="H5" i="18" s="1"/>
  <c r="H12" i="18" s="1"/>
  <c r="H16" i="18" s="1"/>
  <c r="K2" i="18" s="1"/>
  <c r="B7" i="2"/>
  <c r="H11" i="25" l="1"/>
  <c r="H14" i="25" s="1"/>
  <c r="K3" i="25"/>
  <c r="N18" i="6"/>
  <c r="K24" i="21"/>
  <c r="K16" i="6" s="1"/>
  <c r="K8" i="20"/>
  <c r="P3" i="20" s="1"/>
  <c r="E20" i="20"/>
  <c r="K14" i="20"/>
  <c r="K16" i="20" s="1"/>
  <c r="P2" i="20" s="1"/>
  <c r="H12" i="20"/>
  <c r="H33" i="6" s="1"/>
  <c r="H5" i="20"/>
  <c r="H32" i="6" s="1"/>
  <c r="N20" i="18"/>
  <c r="H19" i="6"/>
  <c r="K3" i="18"/>
  <c r="K5" i="18" s="1"/>
  <c r="K13" i="18" s="1"/>
  <c r="K14" i="18" s="1"/>
  <c r="B8" i="2"/>
  <c r="H19" i="25" l="1"/>
  <c r="N19" i="6"/>
  <c r="N2" i="25"/>
  <c r="N4" i="25" s="1"/>
  <c r="N24" i="6"/>
  <c r="P6" i="20"/>
  <c r="H35" i="6" s="1"/>
  <c r="H21" i="6"/>
  <c r="B9" i="2"/>
  <c r="N10" i="25" l="1"/>
  <c r="N26" i="25"/>
  <c r="H23" i="25"/>
  <c r="K10" i="25" s="1"/>
  <c r="K13" i="25" s="1"/>
  <c r="P12" i="20"/>
  <c r="P14" i="20" s="1"/>
  <c r="H36" i="6" s="1"/>
  <c r="N23" i="18"/>
  <c r="N25" i="18" s="1"/>
  <c r="H24" i="6" s="1"/>
  <c r="H22" i="6"/>
  <c r="B17" i="20" s="1"/>
  <c r="Q17" i="6"/>
  <c r="B10" i="2"/>
  <c r="K21" i="25" l="1"/>
  <c r="K25" i="25" s="1"/>
  <c r="N23" i="6" s="1"/>
  <c r="B11" i="2"/>
  <c r="B12" i="2" l="1"/>
  <c r="B13" i="2" l="1"/>
  <c r="B14" i="2" l="1"/>
  <c r="E42" i="1"/>
  <c r="T23" i="6" s="1" a="1"/>
  <c r="T23" i="6" s="1"/>
  <c r="T26" i="6" l="1"/>
  <c r="F42" i="1" a="1"/>
  <c r="F42" i="1" s="1"/>
  <c r="T24" i="6" s="1" a="1"/>
  <c r="T24" i="6" s="1"/>
  <c r="B16" i="6"/>
  <c r="B15" i="6"/>
  <c r="J6" i="2" s="1"/>
  <c r="D4" i="2" s="1"/>
  <c r="B14" i="6"/>
  <c r="J5" i="2" s="1"/>
  <c r="B12" i="6"/>
  <c r="T27" i="6" s="1"/>
  <c r="J3" i="2"/>
  <c r="B8" i="6"/>
  <c r="B13" i="6"/>
  <c r="J4" i="2" s="1"/>
  <c r="B7" i="6"/>
  <c r="A13" i="6"/>
  <c r="C5" i="21" s="1"/>
  <c r="B4" i="6"/>
  <c r="A14" i="6"/>
  <c r="A15" i="6"/>
  <c r="E16" i="6" l="1"/>
  <c r="D6" i="25"/>
  <c r="H22" i="25" s="1"/>
  <c r="H24" i="25" s="1"/>
  <c r="I5" i="2"/>
  <c r="C6" i="21"/>
  <c r="J21" i="21" s="1"/>
  <c r="C9" i="2"/>
  <c r="C4" i="2"/>
  <c r="I6" i="2"/>
  <c r="C8" i="21"/>
  <c r="I4" i="2"/>
  <c r="G3" i="21"/>
  <c r="N10" i="1"/>
  <c r="E21" i="6"/>
  <c r="E18" i="6"/>
  <c r="T28" i="6"/>
  <c r="N2" i="1"/>
  <c r="M35" i="1" s="1"/>
  <c r="E20" i="6"/>
  <c r="F7" i="2"/>
  <c r="F8" i="2"/>
  <c r="F14" i="2"/>
  <c r="F12" i="2"/>
  <c r="F10" i="2"/>
  <c r="F9" i="2"/>
  <c r="Q18" i="6" s="1"/>
  <c r="F13" i="2"/>
  <c r="F4" i="2"/>
  <c r="F5" i="2"/>
  <c r="F11" i="2"/>
  <c r="F6" i="2"/>
  <c r="E14" i="2"/>
  <c r="C7" i="2"/>
  <c r="C12" i="2"/>
  <c r="E5" i="2"/>
  <c r="E12" i="2"/>
  <c r="E6" i="2"/>
  <c r="C13" i="2"/>
  <c r="C5" i="2"/>
  <c r="E13" i="2"/>
  <c r="C8" i="2"/>
  <c r="C11" i="2"/>
  <c r="C6" i="2"/>
  <c r="E11" i="2"/>
  <c r="C10" i="2"/>
  <c r="E10" i="2"/>
  <c r="E4" i="2"/>
  <c r="Q22" i="6"/>
  <c r="E9" i="2"/>
  <c r="Q19" i="6" s="1"/>
  <c r="E8" i="2"/>
  <c r="C14" i="2"/>
  <c r="E7" i="2"/>
  <c r="D11" i="2"/>
  <c r="G11" i="2" s="1"/>
  <c r="D9" i="2"/>
  <c r="Q20" i="6" s="1"/>
  <c r="D10" i="2"/>
  <c r="G10" i="2" s="1"/>
  <c r="D13" i="2"/>
  <c r="G13" i="2" s="1"/>
  <c r="D8" i="2"/>
  <c r="G8" i="2" s="1"/>
  <c r="D7" i="2"/>
  <c r="G7" i="2" s="1"/>
  <c r="G4" i="2"/>
  <c r="D14" i="2"/>
  <c r="G14" i="2" s="1"/>
  <c r="D5" i="2"/>
  <c r="G5" i="2" s="1"/>
  <c r="D12" i="2"/>
  <c r="G12" i="2" s="1"/>
  <c r="D6" i="2"/>
  <c r="G6" i="2" s="1"/>
  <c r="E17" i="6"/>
  <c r="N3" i="1"/>
  <c r="N9" i="25" l="1"/>
  <c r="N12" i="25" s="1"/>
  <c r="N22" i="6" s="1"/>
  <c r="N20" i="6"/>
  <c r="K11" i="25"/>
  <c r="K14" i="25" s="1"/>
  <c r="K2" i="25"/>
  <c r="K5" i="25" s="1"/>
  <c r="N21" i="6" s="1"/>
  <c r="G16" i="21"/>
  <c r="N5" i="1"/>
  <c r="C11" i="1" s="1"/>
  <c r="D11" i="1" s="1"/>
  <c r="R4" i="1"/>
  <c r="R5" i="1" s="1"/>
  <c r="N13" i="1"/>
  <c r="N12" i="1"/>
  <c r="E22" i="6"/>
  <c r="E19" i="6"/>
  <c r="G9" i="2"/>
  <c r="Q21" i="6" s="1"/>
  <c r="I35" i="1"/>
  <c r="C28" i="1" l="1"/>
  <c r="D28" i="1" s="1"/>
  <c r="C33" i="1"/>
  <c r="I33" i="1" s="1"/>
  <c r="J33" i="1" s="1"/>
  <c r="C25" i="1"/>
  <c r="D25" i="1" s="1"/>
  <c r="E25" i="1" s="1"/>
  <c r="C20" i="1"/>
  <c r="D20" i="1" s="1"/>
  <c r="E20" i="1" s="1"/>
  <c r="C29" i="1"/>
  <c r="D29" i="1" s="1"/>
  <c r="H29" i="1" s="1"/>
  <c r="C8" i="1"/>
  <c r="D8" i="1" s="1"/>
  <c r="E8" i="1" s="1"/>
  <c r="C9" i="1"/>
  <c r="D9" i="1" s="1"/>
  <c r="H9" i="1" s="1"/>
  <c r="C17" i="1"/>
  <c r="D17" i="1" s="1"/>
  <c r="E17" i="1" s="1"/>
  <c r="C15" i="1"/>
  <c r="D15" i="1" s="1"/>
  <c r="E15" i="1" s="1"/>
  <c r="C16" i="1"/>
  <c r="D16" i="1" s="1"/>
  <c r="E16" i="1" s="1"/>
  <c r="C26" i="1"/>
  <c r="D26" i="1" s="1"/>
  <c r="E26" i="1" s="1"/>
  <c r="C24" i="1"/>
  <c r="D24" i="1" s="1"/>
  <c r="H24" i="1" s="1"/>
  <c r="C7" i="1"/>
  <c r="D7" i="1" s="1"/>
  <c r="E7" i="1" s="1"/>
  <c r="C13" i="1"/>
  <c r="D13" i="1" s="1"/>
  <c r="E13" i="1" s="1"/>
  <c r="C31" i="1"/>
  <c r="D31" i="1" s="1"/>
  <c r="E31" i="1" s="1"/>
  <c r="C27" i="1"/>
  <c r="D27" i="1" s="1"/>
  <c r="E27" i="1" s="1"/>
  <c r="C4" i="1"/>
  <c r="I4" i="1" s="1"/>
  <c r="C30" i="1"/>
  <c r="D30" i="1" s="1"/>
  <c r="E30" i="1" s="1"/>
  <c r="C6" i="1"/>
  <c r="D6" i="1" s="1"/>
  <c r="E6" i="1" s="1"/>
  <c r="C32" i="1"/>
  <c r="D32" i="1" s="1"/>
  <c r="E32" i="1" s="1"/>
  <c r="C5" i="1"/>
  <c r="D5" i="1" s="1"/>
  <c r="H5" i="1" s="1"/>
  <c r="C12" i="1"/>
  <c r="D12" i="1" s="1"/>
  <c r="H12" i="1" s="1"/>
  <c r="C14" i="1"/>
  <c r="D14" i="1" s="1"/>
  <c r="E14" i="1" s="1"/>
  <c r="C21" i="1"/>
  <c r="D21" i="1" s="1"/>
  <c r="H21" i="1" s="1"/>
  <c r="C23" i="1"/>
  <c r="D23" i="1" s="1"/>
  <c r="E23" i="1" s="1"/>
  <c r="C19" i="1"/>
  <c r="D19" i="1" s="1"/>
  <c r="H19" i="1" s="1"/>
  <c r="C18" i="1"/>
  <c r="D18" i="1" s="1"/>
  <c r="E18" i="1" s="1"/>
  <c r="C22" i="1"/>
  <c r="D22" i="1" s="1"/>
  <c r="E22" i="1" s="1"/>
  <c r="C10" i="1"/>
  <c r="D10" i="1" s="1"/>
  <c r="H10" i="1" s="1"/>
  <c r="I28" i="1"/>
  <c r="K28" i="1" s="1"/>
  <c r="K33" i="1"/>
  <c r="E28" i="1"/>
  <c r="H28" i="1"/>
  <c r="I11" i="1"/>
  <c r="H11" i="1"/>
  <c r="E11" i="1"/>
  <c r="D33" i="1"/>
  <c r="M33" i="1"/>
  <c r="K35" i="1"/>
  <c r="J35" i="1"/>
  <c r="D4" i="1" l="1"/>
  <c r="H4" i="1" s="1"/>
  <c r="I25" i="1"/>
  <c r="K25" i="1" s="1"/>
  <c r="H25" i="1"/>
  <c r="H20" i="1"/>
  <c r="I17" i="1"/>
  <c r="K17" i="1" s="1"/>
  <c r="I20" i="1"/>
  <c r="H8" i="1"/>
  <c r="I29" i="1"/>
  <c r="J29" i="1" s="1"/>
  <c r="I24" i="1"/>
  <c r="J24" i="1" s="1"/>
  <c r="E29" i="1"/>
  <c r="I13" i="1"/>
  <c r="J13" i="1" s="1"/>
  <c r="H17" i="1"/>
  <c r="I26" i="1"/>
  <c r="J26" i="1" s="1"/>
  <c r="E9" i="1"/>
  <c r="I16" i="1"/>
  <c r="K16" i="1" s="1"/>
  <c r="I15" i="1"/>
  <c r="K15" i="1" s="1"/>
  <c r="H26" i="1"/>
  <c r="H16" i="1"/>
  <c r="I9" i="1"/>
  <c r="J9" i="1" s="1"/>
  <c r="I8" i="1"/>
  <c r="K8" i="1" s="1"/>
  <c r="H15" i="1"/>
  <c r="E24" i="1"/>
  <c r="I7" i="1"/>
  <c r="J7" i="1" s="1"/>
  <c r="H22" i="1"/>
  <c r="H31" i="1"/>
  <c r="I27" i="1"/>
  <c r="K27" i="1" s="1"/>
  <c r="H13" i="1"/>
  <c r="I31" i="1"/>
  <c r="K31" i="1" s="1"/>
  <c r="H7" i="1"/>
  <c r="H27" i="1"/>
  <c r="H32" i="1"/>
  <c r="H30" i="1"/>
  <c r="I21" i="1"/>
  <c r="K21" i="1" s="1"/>
  <c r="E5" i="1"/>
  <c r="I6" i="1"/>
  <c r="K6" i="1" s="1"/>
  <c r="E12" i="1"/>
  <c r="K4" i="1"/>
  <c r="H23" i="1"/>
  <c r="I19" i="1"/>
  <c r="K19" i="1" s="1"/>
  <c r="H14" i="1"/>
  <c r="H18" i="1"/>
  <c r="E21" i="1"/>
  <c r="E19" i="1"/>
  <c r="I18" i="1"/>
  <c r="K18" i="1" s="1"/>
  <c r="I10" i="1"/>
  <c r="J10" i="1" s="1"/>
  <c r="I12" i="1"/>
  <c r="J12" i="1" s="1"/>
  <c r="I5" i="1"/>
  <c r="J5" i="1" s="1"/>
  <c r="I14" i="1"/>
  <c r="K14" i="1" s="1"/>
  <c r="I30" i="1"/>
  <c r="J30" i="1" s="1"/>
  <c r="I32" i="1"/>
  <c r="J32" i="1" s="1"/>
  <c r="H6" i="1"/>
  <c r="I22" i="1"/>
  <c r="K22" i="1" s="1"/>
  <c r="I23" i="1"/>
  <c r="K23" i="1" s="1"/>
  <c r="E10" i="1"/>
  <c r="J28" i="1"/>
  <c r="J11" i="1"/>
  <c r="K11" i="1"/>
  <c r="J20" i="1"/>
  <c r="K20" i="1"/>
  <c r="H33" i="1"/>
  <c r="E33" i="1"/>
  <c r="J25" i="1"/>
  <c r="N24" i="1"/>
  <c r="N25" i="1" s="1"/>
  <c r="N26" i="1" s="1"/>
  <c r="N27" i="1" s="1"/>
  <c r="F21" i="1"/>
  <c r="F6" i="1"/>
  <c r="F7" i="1"/>
  <c r="F35" i="1"/>
  <c r="F30" i="1"/>
  <c r="F10" i="1"/>
  <c r="F32" i="1"/>
  <c r="F11" i="1"/>
  <c r="F4" i="1"/>
  <c r="F19" i="1"/>
  <c r="F15" i="1"/>
  <c r="F23" i="1"/>
  <c r="F22" i="1"/>
  <c r="F8" i="1"/>
  <c r="F24" i="1"/>
  <c r="F9" i="1"/>
  <c r="F33" i="1"/>
  <c r="F14" i="1"/>
  <c r="F5" i="1"/>
  <c r="F31" i="1"/>
  <c r="F17" i="1"/>
  <c r="F18" i="1"/>
  <c r="F13" i="1"/>
  <c r="F12" i="1"/>
  <c r="F27" i="1"/>
  <c r="F25" i="1"/>
  <c r="F29" i="1"/>
  <c r="F26" i="1"/>
  <c r="F20" i="1"/>
  <c r="F16" i="1"/>
  <c r="F28" i="1"/>
  <c r="N14" i="1"/>
  <c r="G31" i="1" s="1"/>
  <c r="E4" i="1" l="1"/>
  <c r="J17" i="1"/>
  <c r="K29" i="1"/>
  <c r="K13" i="1"/>
  <c r="K26" i="1"/>
  <c r="K24" i="1"/>
  <c r="J15" i="1"/>
  <c r="J16" i="1"/>
  <c r="K9" i="1"/>
  <c r="J27" i="1"/>
  <c r="K7" i="1"/>
  <c r="J4" i="1"/>
  <c r="J8" i="1"/>
  <c r="K12" i="1"/>
  <c r="J21" i="1"/>
  <c r="K5" i="1"/>
  <c r="J31" i="1"/>
  <c r="J6" i="1"/>
  <c r="J18" i="1"/>
  <c r="J22" i="1"/>
  <c r="J19" i="1"/>
  <c r="K32" i="1"/>
  <c r="J23" i="1"/>
  <c r="N15" i="1"/>
  <c r="K10" i="1"/>
  <c r="K30" i="1"/>
  <c r="J14" i="1"/>
  <c r="G22" i="1"/>
  <c r="G20" i="1"/>
  <c r="G16" i="1"/>
  <c r="G12" i="1"/>
  <c r="G28" i="1"/>
  <c r="G27" i="1"/>
  <c r="G29" i="1"/>
  <c r="G24" i="1"/>
  <c r="G4" i="1"/>
  <c r="G17" i="1"/>
  <c r="G9" i="1"/>
  <c r="G5" i="1"/>
  <c r="G25" i="1"/>
  <c r="G19" i="1"/>
  <c r="G30" i="1"/>
  <c r="G7" i="1"/>
  <c r="G15" i="1"/>
  <c r="G11" i="1"/>
  <c r="G8" i="1"/>
  <c r="G10" i="1"/>
  <c r="G18" i="1"/>
  <c r="G32" i="1"/>
  <c r="G13" i="1"/>
  <c r="G26" i="1"/>
  <c r="G14" i="1"/>
  <c r="G21" i="1"/>
  <c r="G6" i="1"/>
  <c r="G33" i="1"/>
  <c r="G35" i="1"/>
  <c r="G2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<sst xmlns="http://schemas.openxmlformats.org/spreadsheetml/2006/main" count="609" uniqueCount="329">
  <si>
    <t>R1 (kOhm)</t>
  </si>
  <si>
    <t>R2 (kOhm)</t>
  </si>
  <si>
    <t>V</t>
  </si>
  <si>
    <t>Rth (kOhm)</t>
  </si>
  <si>
    <t>Ino (mA)</t>
  </si>
  <si>
    <t>R1/R2</t>
  </si>
  <si>
    <t>N/U</t>
  </si>
  <si>
    <t>Cadc</t>
  </si>
  <si>
    <t>Ctrace</t>
  </si>
  <si>
    <t>pF</t>
  </si>
  <si>
    <t>Ptherm (mW)</t>
  </si>
  <si>
    <t>Nb cycles ADC</t>
  </si>
  <si>
    <t>Freq ADC</t>
  </si>
  <si>
    <t>MHz</t>
  </si>
  <si>
    <t>cycles</t>
  </si>
  <si>
    <t>ns</t>
  </si>
  <si>
    <t>t sampling</t>
  </si>
  <si>
    <t xml:space="preserve">To ensure a good feeding of the ADC </t>
  </si>
  <si>
    <t>sampling capacitance</t>
  </si>
  <si>
    <t xml:space="preserve">We can note that, using a direct reading, </t>
  </si>
  <si>
    <t xml:space="preserve">it will be hard to have a quality reading on the </t>
  </si>
  <si>
    <t>ADC with low power dissipation</t>
  </si>
  <si>
    <t>tsamp &gt; S*RC</t>
  </si>
  <si>
    <t>Only relevant if Cin_adc = 0</t>
  </si>
  <si>
    <t>kHz</t>
  </si>
  <si>
    <t xml:space="preserve">ADC resolution </t>
  </si>
  <si>
    <t>bit</t>
  </si>
  <si>
    <t>steps</t>
  </si>
  <si>
    <t>V/step</t>
  </si>
  <si>
    <t>ADC usefull steps</t>
  </si>
  <si>
    <t>Allowed error</t>
  </si>
  <si>
    <t>%</t>
  </si>
  <si>
    <t>°C/W</t>
  </si>
  <si>
    <t>°C</t>
  </si>
  <si>
    <t>Ambient temp</t>
  </si>
  <si>
    <t>F_filtered(MHz)</t>
  </si>
  <si>
    <t>Cin_adc (0 is an option)</t>
  </si>
  <si>
    <t>Real error (mean)</t>
  </si>
  <si>
    <t>Ok if &lt; tsample</t>
  </si>
  <si>
    <t>Ok if &gt; Sf * Fmax</t>
  </si>
  <si>
    <t>thermal resistance 2012m</t>
  </si>
  <si>
    <t>Increase 2012m (°C)</t>
  </si>
  <si>
    <t>Increase 2520m (°C)</t>
  </si>
  <si>
    <t>thermal resistance 2520m</t>
  </si>
  <si>
    <t>security on freq (f)</t>
  </si>
  <si>
    <t>Amplitude error</t>
  </si>
  <si>
    <t>Phase error</t>
  </si>
  <si>
    <t>°</t>
  </si>
  <si>
    <t>Minimal I to sens</t>
  </si>
  <si>
    <t>A</t>
  </si>
  <si>
    <t>ADC range</t>
  </si>
  <si>
    <t>Duty Cycle</t>
  </si>
  <si>
    <t>mV</t>
  </si>
  <si>
    <t>Disspated power (W)</t>
  </si>
  <si>
    <t>Rshunt (µOhm)</t>
  </si>
  <si>
    <t>Physic analysis of the Vsensing</t>
  </si>
  <si>
    <t>Physic analysis of the Isensing</t>
  </si>
  <si>
    <t>mV/s</t>
  </si>
  <si>
    <t>OPAMP gain</t>
  </si>
  <si>
    <t>mA/step</t>
  </si>
  <si>
    <t>S*RCext (ns)</t>
  </si>
  <si>
    <t>S*RCint (ns)</t>
  </si>
  <si>
    <t>Charge factor (Sext)</t>
  </si>
  <si>
    <t>Charge factor (Sint)</t>
  </si>
  <si>
    <t>Minimal blanking time</t>
  </si>
  <si>
    <t>The whole ESC can dissipate up to 1.5W still and 3W with forced air</t>
  </si>
  <si>
    <t>Aimed Vth@45V</t>
  </si>
  <si>
    <t>Resistance on the ADC trace</t>
  </si>
  <si>
    <t>Ohm</t>
  </si>
  <si>
    <t>ADC conversion time</t>
  </si>
  <si>
    <t>ADC sampling time</t>
  </si>
  <si>
    <t>ADC total time</t>
  </si>
  <si>
    <t>I_D</t>
  </si>
  <si>
    <t>Duty cycle</t>
  </si>
  <si>
    <t>D</t>
  </si>
  <si>
    <t>Drain-to-Source voltage</t>
  </si>
  <si>
    <t>V_DS</t>
  </si>
  <si>
    <t>Drain-to-Source electrical resistance</t>
  </si>
  <si>
    <t>Rise time</t>
  </si>
  <si>
    <t>t_r</t>
  </si>
  <si>
    <t>Fall time</t>
  </si>
  <si>
    <t>t_f</t>
  </si>
  <si>
    <t>Switching frequency (PWM)</t>
  </si>
  <si>
    <t>f_pwm</t>
  </si>
  <si>
    <t>Drained current mean</t>
  </si>
  <si>
    <r>
      <t>m</t>
    </r>
    <r>
      <rPr>
        <sz val="11"/>
        <color theme="1"/>
        <rFont val="Aptos Narrow"/>
        <family val="2"/>
      </rPr>
      <t>Ω</t>
    </r>
  </si>
  <si>
    <t>R_DS,on</t>
  </si>
  <si>
    <t>P_cond</t>
  </si>
  <si>
    <t>W</t>
  </si>
  <si>
    <t>Switching thermal losses</t>
  </si>
  <si>
    <t>P_sw</t>
  </si>
  <si>
    <t>P_tot</t>
  </si>
  <si>
    <t>Conduction thermal losses max</t>
  </si>
  <si>
    <t>Total thermal losses for ESC</t>
  </si>
  <si>
    <t>Rated for 64kHz without active cooling for v1</t>
  </si>
  <si>
    <t>Term goal is 128kHz but will require review of the gate resistor setup</t>
  </si>
  <si>
    <t>95% duty is the goal for v1</t>
  </si>
  <si>
    <t>Vdd (V)</t>
  </si>
  <si>
    <t>Vhbr (V)</t>
  </si>
  <si>
    <t>Ihbs (mA)</t>
  </si>
  <si>
    <t>Ihb (mA)</t>
  </si>
  <si>
    <t>Fmax (kHz)</t>
  </si>
  <si>
    <t>MOSFET</t>
  </si>
  <si>
    <t>Name</t>
  </si>
  <si>
    <t>Manifacturer</t>
  </si>
  <si>
    <t>STM</t>
  </si>
  <si>
    <t>STL180N6F7</t>
  </si>
  <si>
    <t>NVMFS5C604NL</t>
  </si>
  <si>
    <t>Onsemi</t>
  </si>
  <si>
    <r>
      <t>Rds,on@10V typ(m</t>
    </r>
    <r>
      <rPr>
        <sz val="11"/>
        <color theme="1"/>
        <rFont val="Aptos Narrow"/>
        <family val="2"/>
      </rPr>
      <t>Ω)</t>
    </r>
  </si>
  <si>
    <t>Rds,on@10V max (mΩ)</t>
  </si>
  <si>
    <t>Rise time (ns)</t>
  </si>
  <si>
    <t>Fall time (ns)</t>
  </si>
  <si>
    <t>Chose the part:</t>
  </si>
  <si>
    <t>No</t>
  </si>
  <si>
    <t>Yes</t>
  </si>
  <si>
    <t>Part</t>
  </si>
  <si>
    <t>LIMITS</t>
  </si>
  <si>
    <t>V1.0</t>
  </si>
  <si>
    <t>V2.0</t>
  </si>
  <si>
    <t>Fmin (kHz)</t>
  </si>
  <si>
    <t>Batt max (S)</t>
  </si>
  <si>
    <t>Batt min (S)</t>
  </si>
  <si>
    <t>Cell max (V)</t>
  </si>
  <si>
    <t>Cell typ (V)</t>
  </si>
  <si>
    <t>Cell min (V)</t>
  </si>
  <si>
    <t>Frame size (")</t>
  </si>
  <si>
    <t>Resolution (bit)</t>
  </si>
  <si>
    <t>Rtop (Ω)</t>
  </si>
  <si>
    <t>Rbot (Ω)</t>
  </si>
  <si>
    <t>Computed data:</t>
  </si>
  <si>
    <t>Input data:</t>
  </si>
  <si>
    <t>STM32G4 internal</t>
  </si>
  <si>
    <t>Vin,max@vin (V)</t>
  </si>
  <si>
    <t>Filling cycles</t>
  </si>
  <si>
    <t>Resolution (mV/step)</t>
  </si>
  <si>
    <t>Rbot/Rtop</t>
  </si>
  <si>
    <t>Radc (Ω)</t>
  </si>
  <si>
    <t>Rth (Ω)</t>
  </si>
  <si>
    <t>Iadc (mA)</t>
  </si>
  <si>
    <t>Cext,adc (pF)</t>
  </si>
  <si>
    <t>R_CinToAdc (Ω)</t>
  </si>
  <si>
    <t>Charge Factor</t>
  </si>
  <si>
    <t>S*RCint (ps)</t>
  </si>
  <si>
    <t>t_Cadc_filled (ns)</t>
  </si>
  <si>
    <t>t_filling (ns)</t>
  </si>
  <si>
    <t>t_Cext_filled (ns)</t>
  </si>
  <si>
    <t>ADC Vsense</t>
  </si>
  <si>
    <t>Vsense</t>
  </si>
  <si>
    <t>Min blank time (ns)</t>
  </si>
  <si>
    <t>ADC/OpAmp Isense</t>
  </si>
  <si>
    <t>OpAmp gain</t>
  </si>
  <si>
    <t>Isense</t>
  </si>
  <si>
    <r>
      <t>Rshunt (µ</t>
    </r>
    <r>
      <rPr>
        <sz val="11"/>
        <color theme="1"/>
        <rFont val="Aptos Narrow"/>
        <family val="2"/>
      </rPr>
      <t>Ω)</t>
    </r>
  </si>
  <si>
    <t>Resolution (mA/step)</t>
  </si>
  <si>
    <r>
      <t>Rg,off (</t>
    </r>
    <r>
      <rPr>
        <sz val="11"/>
        <color theme="1"/>
        <rFont val="Aptos Narrow"/>
        <family val="2"/>
      </rPr>
      <t>Ω)</t>
    </r>
  </si>
  <si>
    <t>Rboot,int (Ω)</t>
  </si>
  <si>
    <t>Vout (V)</t>
  </si>
  <si>
    <t>Gate Driver</t>
  </si>
  <si>
    <t>Rboot,ext (Ω)</t>
  </si>
  <si>
    <t>Cboot,min (nF)</t>
  </si>
  <si>
    <t>Vfint,100mA (V)</t>
  </si>
  <si>
    <r>
      <t>Rg,on+off (</t>
    </r>
    <r>
      <rPr>
        <sz val="11"/>
        <color theme="1"/>
        <rFont val="Aptos Narrow"/>
        <family val="2"/>
      </rPr>
      <t>Ω)</t>
    </r>
  </si>
  <si>
    <t>Rpu,hs (Ω)</t>
  </si>
  <si>
    <t>Rpu,ls (Ω)</t>
  </si>
  <si>
    <t>Rpd,hs (Ω)</t>
  </si>
  <si>
    <t>Rpd,ls (Ω)</t>
  </si>
  <si>
    <t>Conduction losses max (W/ESC)</t>
  </si>
  <si>
    <t>ΔV@Ispike (V)</t>
  </si>
  <si>
    <t>ΔV@Imax (V)</t>
  </si>
  <si>
    <t>Voltage drop spike amp (V)</t>
  </si>
  <si>
    <t>Iph typ (A)</t>
  </si>
  <si>
    <t>Iph max (A@Xs)</t>
  </si>
  <si>
    <t>Iph spike (A@Xms)</t>
  </si>
  <si>
    <t>Voltage drop max amp (V)</t>
  </si>
  <si>
    <t>Voltage drop typ amp (V)2</t>
  </si>
  <si>
    <t>ToF Iph typ (%)</t>
  </si>
  <si>
    <t>ToF Iph max (%)</t>
  </si>
  <si>
    <t>ToF Iph spike (%)</t>
  </si>
  <si>
    <t>Iph mean (A)</t>
  </si>
  <si>
    <t>Go to Isense calc page</t>
  </si>
  <si>
    <t>JLCPBC stock</t>
  </si>
  <si>
    <r>
      <t xml:space="preserve">Conduction losses @ </t>
    </r>
    <r>
      <rPr>
        <b/>
        <sz val="11"/>
        <color theme="1"/>
        <rFont val="Aptos Narrow"/>
        <family val="2"/>
        <scheme val="minor"/>
      </rPr>
      <t>Imax</t>
    </r>
    <r>
      <rPr>
        <sz val="11"/>
        <color theme="1"/>
        <rFont val="Aptos Narrow"/>
        <family val="2"/>
        <scheme val="minor"/>
      </rPr>
      <t xml:space="preserve"> (W/fet)</t>
    </r>
  </si>
  <si>
    <r>
      <t xml:space="preserve">Fet total losses max @ </t>
    </r>
    <r>
      <rPr>
        <b/>
        <sz val="11"/>
        <color theme="1"/>
        <rFont val="Aptos Narrow"/>
        <family val="2"/>
        <scheme val="minor"/>
      </rPr>
      <t>Imax</t>
    </r>
    <r>
      <rPr>
        <sz val="11"/>
        <color theme="1"/>
        <rFont val="Aptos Narrow"/>
        <family val="2"/>
        <scheme val="minor"/>
      </rPr>
      <t xml:space="preserve"> (W/fet)</t>
    </r>
  </si>
  <si>
    <r>
      <t xml:space="preserve">Conduction losses @ </t>
    </r>
    <r>
      <rPr>
        <b/>
        <sz val="11"/>
        <color theme="1"/>
        <rFont val="Aptos Narrow"/>
        <family val="2"/>
        <scheme val="minor"/>
      </rPr>
      <t>Imean</t>
    </r>
    <r>
      <rPr>
        <sz val="11"/>
        <color theme="1"/>
        <rFont val="Aptos Narrow"/>
        <family val="2"/>
        <scheme val="minor"/>
      </rPr>
      <t xml:space="preserve"> (W/fet)</t>
    </r>
  </si>
  <si>
    <r>
      <t xml:space="preserve">Switching losses @ </t>
    </r>
    <r>
      <rPr>
        <b/>
        <sz val="11"/>
        <color theme="1"/>
        <rFont val="Aptos Narrow"/>
        <family val="2"/>
        <scheme val="minor"/>
      </rPr>
      <t>Imean</t>
    </r>
    <r>
      <rPr>
        <sz val="11"/>
        <color theme="1"/>
        <rFont val="Aptos Narrow"/>
        <family val="2"/>
        <scheme val="minor"/>
      </rPr>
      <t xml:space="preserve"> (W/fet)</t>
    </r>
  </si>
  <si>
    <r>
      <t xml:space="preserve">Fet total losses max @ </t>
    </r>
    <r>
      <rPr>
        <b/>
        <sz val="11"/>
        <color theme="1"/>
        <rFont val="Aptos Narrow"/>
        <family val="2"/>
        <scheme val="minor"/>
      </rPr>
      <t>Imean</t>
    </r>
    <r>
      <rPr>
        <sz val="11"/>
        <color theme="1"/>
        <rFont val="Aptos Narrow"/>
        <family val="2"/>
        <scheme val="minor"/>
      </rPr>
      <t xml:space="preserve"> (W/fet)</t>
    </r>
  </si>
  <si>
    <r>
      <t>Switching losses @</t>
    </r>
    <r>
      <rPr>
        <b/>
        <sz val="11"/>
        <color theme="1"/>
        <rFont val="Aptos Narrow"/>
        <family val="2"/>
        <scheme val="minor"/>
      </rPr>
      <t xml:space="preserve"> Imax </t>
    </r>
    <r>
      <rPr>
        <sz val="11"/>
        <color theme="1"/>
        <rFont val="Aptos Narrow"/>
        <family val="2"/>
        <scheme val="minor"/>
      </rPr>
      <t>(W/fet)</t>
    </r>
  </si>
  <si>
    <t>Vds (V)</t>
  </si>
  <si>
    <t>TPN4R806PL</t>
  </si>
  <si>
    <t>Toshiba</t>
  </si>
  <si>
    <t>Id,pulsed (A)</t>
  </si>
  <si>
    <t>Id @ Tc=25°C (A)</t>
  </si>
  <si>
    <t>Id @ Ta=25°C (A)</t>
  </si>
  <si>
    <t>Size (mm)</t>
  </si>
  <si>
    <t>3.3x3.3</t>
  </si>
  <si>
    <t>5x6</t>
  </si>
  <si>
    <t>X</t>
  </si>
  <si>
    <t>SiR186LDP</t>
  </si>
  <si>
    <t>Vishay</t>
  </si>
  <si>
    <t>Qg,typ @ 10V (nC)</t>
  </si>
  <si>
    <t>Id @ Tc&gt;70°C (A)</t>
  </si>
  <si>
    <t>Id @ Ta&gt;70°C (A)</t>
  </si>
  <si>
    <t>Infineon</t>
  </si>
  <si>
    <t>BSC027N06LS5</t>
  </si>
  <si>
    <t>~Yes</t>
  </si>
  <si>
    <t>Qg,max @ 10V (nC)</t>
  </si>
  <si>
    <t>(est &lt;15)</t>
  </si>
  <si>
    <t>(est ~15)</t>
  </si>
  <si>
    <t>BSC016N06NS</t>
  </si>
  <si>
    <t>(est ~13-15A)</t>
  </si>
  <si>
    <t>(est ~21A)</t>
  </si>
  <si>
    <t>V1.0 (hard flight)</t>
  </si>
  <si>
    <t>V1.0 (95%D)</t>
  </si>
  <si>
    <t>V1.0 (48kHz)</t>
  </si>
  <si>
    <t>Vbat spike (V) @ disarm</t>
  </si>
  <si>
    <t>Vbat spike (V) @ run</t>
  </si>
  <si>
    <t>Vph spike (V) @ disarm</t>
  </si>
  <si>
    <t>Vph spike (V) @ run</t>
  </si>
  <si>
    <t>Average VDS (V)</t>
  </si>
  <si>
    <t>Highest frequency (Fmax)</t>
  </si>
  <si>
    <t>TI</t>
  </si>
  <si>
    <t>Qg,typ,sync @ 10V (nC)</t>
  </si>
  <si>
    <t>Depend of Rg</t>
  </si>
  <si>
    <t>V1.0 (48kHz + hard flight)</t>
  </si>
  <si>
    <t>Version:</t>
  </si>
  <si>
    <t>Reference:</t>
  </si>
  <si>
    <t>TI CSD18540Q5B</t>
  </si>
  <si>
    <t>Infineon 2EDL8024</t>
  </si>
  <si>
    <t>GD</t>
  </si>
  <si>
    <t>Ref</t>
  </si>
  <si>
    <t>Rohm RB161QS-40</t>
  </si>
  <si>
    <t>Vf (V)</t>
  </si>
  <si>
    <t>Vf@100mA (V)</t>
  </si>
  <si>
    <t>Dext,boot</t>
  </si>
  <si>
    <t>User value</t>
  </si>
  <si>
    <t>DB/computed value</t>
  </si>
  <si>
    <r>
      <t>R (</t>
    </r>
    <r>
      <rPr>
        <sz val="11"/>
        <color theme="1"/>
        <rFont val="Aptos Narrow"/>
        <family val="2"/>
      </rPr>
      <t>Ω)</t>
    </r>
  </si>
  <si>
    <t>Ipd (mA)</t>
  </si>
  <si>
    <t>From external</t>
  </si>
  <si>
    <t>Cboot</t>
  </si>
  <si>
    <t>Expected derating (%)</t>
  </si>
  <si>
    <t>Cboot (nF)</t>
  </si>
  <si>
    <t>Rpull-down,gate</t>
  </si>
  <si>
    <t>t_recharge (µs)</t>
  </si>
  <si>
    <t>Vboot,max (V)</t>
  </si>
  <si>
    <t>ΔVboot,max (V)</t>
  </si>
  <si>
    <t>Vboot,min (V)</t>
  </si>
  <si>
    <t>Vboot,max@Dmax (V)</t>
  </si>
  <si>
    <r>
      <t>Req (</t>
    </r>
    <r>
      <rPr>
        <sz val="11"/>
        <color theme="1"/>
        <rFont val="Aptos Narrow"/>
        <family val="2"/>
      </rPr>
      <t>Ω)</t>
    </r>
  </si>
  <si>
    <t>Qbs (nC)</t>
  </si>
  <si>
    <t>t_blank@V_sw=0 (ns)</t>
  </si>
  <si>
    <t>Diode - Dboot</t>
  </si>
  <si>
    <t>Rboot,ext</t>
  </si>
  <si>
    <t>R (kΩ)</t>
  </si>
  <si>
    <t>Rpd,gate (kΩ)</t>
  </si>
  <si>
    <t>Basic JLCPCB capacitances</t>
  </si>
  <si>
    <t>Gate resistors</t>
  </si>
  <si>
    <t>GATE RESISTOR</t>
  </si>
  <si>
    <t>GATE DRIVER</t>
  </si>
  <si>
    <r>
      <t>Req,on (</t>
    </r>
    <r>
      <rPr>
        <sz val="11"/>
        <color theme="1"/>
        <rFont val="Aptos Narrow"/>
        <family val="2"/>
      </rPr>
      <t>Ω)</t>
    </r>
  </si>
  <si>
    <t>Imax,on (A)</t>
  </si>
  <si>
    <t>Imax,off (A)</t>
  </si>
  <si>
    <t>Pg,loss (mW)</t>
  </si>
  <si>
    <t>Vhbh,max (V)</t>
  </si>
  <si>
    <r>
      <t>Rgd,mean (</t>
    </r>
    <r>
      <rPr>
        <sz val="11"/>
        <color theme="1"/>
        <rFont val="Aptos Narrow"/>
        <family val="2"/>
      </rPr>
      <t>Ω)</t>
    </r>
  </si>
  <si>
    <t>Rg,eq,off</t>
  </si>
  <si>
    <r>
      <t>Rg,mean (</t>
    </r>
    <r>
      <rPr>
        <sz val="11"/>
        <color theme="1"/>
        <rFont val="Aptos Narrow"/>
        <family val="2"/>
      </rPr>
      <t>Ω)</t>
    </r>
  </si>
  <si>
    <t>Prg,mean (mW)</t>
  </si>
  <si>
    <t>Prgd,mean (mW)</t>
  </si>
  <si>
    <t>Safety margin on Cboot</t>
  </si>
  <si>
    <t>Safety margin on losses</t>
  </si>
  <si>
    <t>Pg,loss,min (mW)</t>
  </si>
  <si>
    <t>Rshunt</t>
  </si>
  <si>
    <r>
      <t>Rshunt (µ</t>
    </r>
    <r>
      <rPr>
        <sz val="11"/>
        <color theme="1"/>
        <rFont val="Aptos Narrow"/>
        <family val="2"/>
      </rPr>
      <t>Ω</t>
    </r>
    <r>
      <rPr>
        <sz val="9.35"/>
        <color theme="1"/>
        <rFont val="Aptos Narrow"/>
        <family val="2"/>
      </rPr>
      <t>)</t>
    </r>
  </si>
  <si>
    <t>Req,off</t>
  </si>
  <si>
    <t>Vshunt,typ (mV)</t>
  </si>
  <si>
    <t>Vshunt,spike (mV)</t>
  </si>
  <si>
    <t>ADC &amp; OpAmp</t>
  </si>
  <si>
    <t>Vmax (V)</t>
  </si>
  <si>
    <t>Vshunt,amp,typ (V)</t>
  </si>
  <si>
    <t>Vshunt,amp,spike (V)</t>
  </si>
  <si>
    <t>Pshunt,mean (mW)</t>
  </si>
  <si>
    <t>Pshunt,max (mW@Xs)</t>
  </si>
  <si>
    <t>Dmax (%)</t>
  </si>
  <si>
    <t>Cboot &amp; Rboot,ext</t>
  </si>
  <si>
    <t>ADC Isense</t>
  </si>
  <si>
    <r>
      <t>Rv2 (</t>
    </r>
    <r>
      <rPr>
        <sz val="11"/>
        <color theme="1"/>
        <rFont val="Aptos Narrow"/>
        <family val="2"/>
      </rPr>
      <t>Ω)</t>
    </r>
  </si>
  <si>
    <r>
      <t>Rv1 (</t>
    </r>
    <r>
      <rPr>
        <sz val="11"/>
        <color theme="1"/>
        <rFont val="Aptos Narrow"/>
        <family val="2"/>
      </rPr>
      <t>Ω)</t>
    </r>
  </si>
  <si>
    <t>Rv2 &amp; Rtrace</t>
  </si>
  <si>
    <t>Prv1,rv2 (mW)</t>
  </si>
  <si>
    <r>
      <t>Rv1,th (</t>
    </r>
    <r>
      <rPr>
        <sz val="11"/>
        <color theme="1"/>
        <rFont val="Aptos Narrow"/>
        <family val="2"/>
      </rPr>
      <t>Ω)</t>
    </r>
  </si>
  <si>
    <t>Description</t>
  </si>
  <si>
    <t>Prated@70°C (W)</t>
  </si>
  <si>
    <t>Package (inch)</t>
  </si>
  <si>
    <t>Package (m)</t>
  </si>
  <si>
    <t>0805</t>
  </si>
  <si>
    <t>2012m</t>
  </si>
  <si>
    <t>Basic</t>
  </si>
  <si>
    <t>Rv2 name</t>
  </si>
  <si>
    <t>UKN</t>
  </si>
  <si>
    <t>Cboot,th (nF)</t>
  </si>
  <si>
    <t>Cadc,ext (pF)</t>
  </si>
  <si>
    <t>Cadc,ext</t>
  </si>
  <si>
    <t>Vdivider,spike (V)</t>
  </si>
  <si>
    <t>Vbat,typ (V)</t>
  </si>
  <si>
    <t>Vbat,min (V)</t>
  </si>
  <si>
    <t>Vdivider,typ (V)</t>
  </si>
  <si>
    <t>Imax-in,adc,typ (mA)</t>
  </si>
  <si>
    <t>Imax-in,adc,spike (mA)</t>
  </si>
  <si>
    <r>
      <t>Rthvn (</t>
    </r>
    <r>
      <rPr>
        <sz val="11"/>
        <color theme="1"/>
        <rFont val="Aptos Narrow"/>
        <family val="2"/>
      </rPr>
      <t>Ω)</t>
    </r>
  </si>
  <si>
    <t>Idivider,typ (mA)</t>
  </si>
  <si>
    <t>Iin,adc,typ (mA)</t>
  </si>
  <si>
    <t>1.8kΩ, 2012m</t>
  </si>
  <si>
    <t>33Ω, 2012m</t>
  </si>
  <si>
    <t>Vref,adc (V)</t>
  </si>
  <si>
    <t>ΔIlsb (mA/bit)</t>
  </si>
  <si>
    <t>Fadc,clock(MHz)</t>
  </si>
  <si>
    <t>Tadc,clock (ns)</t>
  </si>
  <si>
    <t>Nsamp (cycle)</t>
  </si>
  <si>
    <t>Taqc (ns)</t>
  </si>
  <si>
    <t>ΔVlsb,fullscale (mV/bit)</t>
  </si>
  <si>
    <t>Charge factor</t>
  </si>
  <si>
    <t>Radc,ext name</t>
  </si>
  <si>
    <r>
      <t>Radc,ext (</t>
    </r>
    <r>
      <rPr>
        <sz val="11"/>
        <color theme="1"/>
        <rFont val="Aptos Narrow"/>
        <family val="2"/>
      </rPr>
      <t>Ω)</t>
    </r>
  </si>
  <si>
    <t>Csamp</t>
  </si>
  <si>
    <t>Csamp (pF)</t>
  </si>
  <si>
    <t>Elsb (V/step)</t>
  </si>
  <si>
    <t>Tsamp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</si>
</sst>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.35"/>
      <color theme="1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2" borderId="1" xfId="0" applyFill="1" applyBorder="1"/>
    <xf numFmtId="1" fontId="0" fillId="0" borderId="1" xfId="0" applyNumberFormat="1" applyBorder="1" applyAlignment="1">
      <alignment horizontal="center"/>
    </xf>
    <xf numFmtId="0" fontId="1" fillId="0" borderId="0" xfId="0" applyFont="1"/>
    <xf numFmtId="0" fontId="0" fillId="4" borderId="0" xfId="0" applyFill="1" applyAlignment="1">
      <alignment horizontal="center"/>
    </xf>
    <xf numFmtId="0" fontId="0" fillId="2" borderId="5" xfId="0" applyFill="1" applyBorder="1"/>
    <xf numFmtId="0" fontId="0" fillId="0" borderId="6" xfId="0" applyBorder="1"/>
    <xf numFmtId="0" fontId="0" fillId="2" borderId="7" xfId="0" applyFill="1" applyBorder="1"/>
    <xf numFmtId="0" fontId="0" fillId="0" borderId="9" xfId="0" applyBorder="1"/>
    <xf numFmtId="165" fontId="0" fillId="0" borderId="1" xfId="0" applyNumberForma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64" fontId="0" fillId="0" borderId="8" xfId="0" applyNumberFormat="1" applyBorder="1" applyAlignment="1">
      <alignment horizontal="center"/>
    </xf>
    <xf numFmtId="167" fontId="2" fillId="6" borderId="1" xfId="0" applyNumberFormat="1" applyFont="1" applyFill="1" applyBorder="1" applyAlignment="1">
      <alignment horizontal="center"/>
    </xf>
    <xf numFmtId="166" fontId="2" fillId="6" borderId="1" xfId="0" applyNumberFormat="1" applyFont="1" applyFill="1" applyBorder="1" applyAlignment="1">
      <alignment horizontal="center"/>
    </xf>
    <xf numFmtId="166" fontId="2" fillId="6" borderId="0" xfId="0" applyNumberFormat="1" applyFont="1" applyFill="1" applyAlignment="1">
      <alignment horizontal="center"/>
    </xf>
    <xf numFmtId="167" fontId="2" fillId="6" borderId="0" xfId="0" applyNumberFormat="1" applyFont="1" applyFill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3" fillId="0" borderId="0" xfId="0" applyFont="1"/>
    <xf numFmtId="0" fontId="0" fillId="0" borderId="13" xfId="0" applyBorder="1"/>
    <xf numFmtId="1" fontId="0" fillId="0" borderId="0" xfId="0" applyNumberFormat="1" applyAlignment="1">
      <alignment horizontal="center"/>
    </xf>
    <xf numFmtId="0" fontId="2" fillId="0" borderId="0" xfId="0" applyFont="1"/>
    <xf numFmtId="0" fontId="0" fillId="7" borderId="1" xfId="0" applyFill="1" applyBorder="1"/>
    <xf numFmtId="167" fontId="0" fillId="0" borderId="1" xfId="0" applyNumberFormat="1" applyBorder="1"/>
    <xf numFmtId="167" fontId="0" fillId="0" borderId="0" xfId="0" applyNumberFormat="1"/>
    <xf numFmtId="165" fontId="0" fillId="0" borderId="0" xfId="0" applyNumberFormat="1" applyAlignment="1">
      <alignment horizontal="left"/>
    </xf>
    <xf numFmtId="0" fontId="0" fillId="6" borderId="1" xfId="0" applyFill="1" applyBorder="1"/>
    <xf numFmtId="0" fontId="2" fillId="3" borderId="1" xfId="0" applyFont="1" applyFill="1" applyBorder="1" applyAlignment="1">
      <alignment horizontal="center"/>
    </xf>
    <xf numFmtId="0" fontId="0" fillId="0" borderId="14" xfId="0" applyBorder="1"/>
    <xf numFmtId="2" fontId="0" fillId="0" borderId="0" xfId="0" applyNumberFormat="1"/>
    <xf numFmtId="0" fontId="0" fillId="8" borderId="1" xfId="0" applyFill="1" applyBorder="1"/>
    <xf numFmtId="166" fontId="0" fillId="0" borderId="4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0" fillId="6" borderId="16" xfId="0" applyFill="1" applyBorder="1"/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0" borderId="0" xfId="0" applyFill="1"/>
    <xf numFmtId="0" fontId="0" fillId="10" borderId="1" xfId="0" applyFill="1" applyBorder="1" applyAlignment="1">
      <alignment horizontal="center"/>
    </xf>
    <xf numFmtId="0" fontId="7" fillId="0" borderId="0" xfId="0" applyFont="1"/>
    <xf numFmtId="2" fontId="0" fillId="0" borderId="21" xfId="0" applyNumberFormat="1" applyBorder="1" applyAlignment="1">
      <alignment horizontal="center"/>
    </xf>
    <xf numFmtId="0" fontId="0" fillId="10" borderId="21" xfId="0" applyFill="1" applyBorder="1" applyAlignment="1">
      <alignment horizontal="left"/>
    </xf>
    <xf numFmtId="0" fontId="0" fillId="8" borderId="21" xfId="0" applyFill="1" applyBorder="1"/>
    <xf numFmtId="0" fontId="0" fillId="0" borderId="21" xfId="0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4" borderId="4" xfId="0" applyNumberFormat="1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4" borderId="2" xfId="0" applyNumberForma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6" fillId="0" borderId="0" xfId="0" applyFont="1"/>
    <xf numFmtId="2" fontId="0" fillId="0" borderId="2" xfId="0" applyNumberFormat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right"/>
    </xf>
    <xf numFmtId="0" fontId="1" fillId="5" borderId="1" xfId="0" applyFont="1" applyFill="1" applyBorder="1"/>
    <xf numFmtId="167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0" xfId="0" applyFill="1"/>
    <xf numFmtId="0" fontId="0" fillId="0" borderId="0" xfId="0" applyFill="1" applyBorder="1"/>
    <xf numFmtId="0" fontId="0" fillId="0" borderId="0" xfId="0" applyFont="1" applyFill="1" applyBorder="1"/>
    <xf numFmtId="0" fontId="0" fillId="0" borderId="0" xfId="0" applyFont="1" applyFill="1" applyBorder="1" applyAlignment="1">
      <alignment horizontal="center"/>
    </xf>
    <xf numFmtId="0" fontId="0" fillId="0" borderId="0" xfId="0" applyBorder="1"/>
    <xf numFmtId="167" fontId="0" fillId="0" borderId="1" xfId="0" applyNumberFormat="1" applyFont="1" applyFill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0" fillId="5" borderId="1" xfId="0" applyFont="1" applyFill="1" applyBorder="1"/>
    <xf numFmtId="0" fontId="0" fillId="3" borderId="0" xfId="0" applyFill="1"/>
    <xf numFmtId="0" fontId="0" fillId="6" borderId="1" xfId="0" applyFont="1" applyFill="1" applyBorder="1"/>
    <xf numFmtId="0" fontId="0" fillId="6" borderId="0" xfId="0" applyFill="1"/>
    <xf numFmtId="0" fontId="0" fillId="11" borderId="0" xfId="0" applyFill="1"/>
    <xf numFmtId="0" fontId="0" fillId="0" borderId="0" xfId="0" applyFill="1" applyBorder="1" applyAlignment="1"/>
    <xf numFmtId="1" fontId="0" fillId="0" borderId="0" xfId="0" applyNumberForma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0" xfId="0" applyNumberFormat="1"/>
    <xf numFmtId="2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Font="1" applyBorder="1" applyAlignment="1">
      <alignment horizontal="center"/>
    </xf>
    <xf numFmtId="167" fontId="0" fillId="0" borderId="1" xfId="0" applyNumberFormat="1" applyFont="1" applyBorder="1" applyAlignment="1">
      <alignment horizontal="center"/>
    </xf>
    <xf numFmtId="0" fontId="0" fillId="0" borderId="0" xfId="0" quotePrefix="1" applyAlignment="1">
      <alignment horizontal="right"/>
    </xf>
    <xf numFmtId="0" fontId="0" fillId="8" borderId="1" xfId="0" applyFont="1" applyFill="1" applyBorder="1"/>
    <xf numFmtId="0" fontId="0" fillId="0" borderId="1" xfId="0" applyFont="1" applyBorder="1" applyAlignment="1">
      <alignment horizontal="center"/>
    </xf>
    <xf numFmtId="0" fontId="0" fillId="0" borderId="0" xfId="0" applyNumberFormat="1" applyFont="1" applyFill="1" applyBorder="1"/>
    <xf numFmtId="0" fontId="0" fillId="0" borderId="0" xfId="0" applyFont="1" applyFill="1" applyBorder="1" applyAlignment="1">
      <alignment horizontal="right"/>
    </xf>
    <xf numFmtId="2" fontId="0" fillId="0" borderId="1" xfId="0" applyNumberFormat="1" applyFont="1" applyBorder="1" applyAlignment="1">
      <alignment horizontal="center"/>
    </xf>
    <xf numFmtId="0" fontId="0" fillId="12" borderId="0" xfId="0" applyFill="1"/>
    <xf numFmtId="0" fontId="1" fillId="12" borderId="0" xfId="0" applyFont="1" applyFill="1" applyBorder="1" applyAlignment="1">
      <alignment horizontal="center"/>
    </xf>
    <xf numFmtId="0" fontId="0" fillId="12" borderId="0" xfId="0" applyFill="1" applyBorder="1" applyAlignment="1">
      <alignment horizontal="center"/>
    </xf>
    <xf numFmtId="0" fontId="0" fillId="12" borderId="0" xfId="0" applyFont="1" applyFill="1" applyBorder="1" applyAlignment="1">
      <alignment horizontal="center"/>
    </xf>
    <xf numFmtId="167" fontId="0" fillId="12" borderId="0" xfId="0" applyNumberFormat="1" applyFill="1" applyBorder="1" applyAlignment="1">
      <alignment horizontal="center"/>
    </xf>
    <xf numFmtId="0" fontId="0" fillId="13" borderId="0" xfId="0" applyFill="1"/>
    <xf numFmtId="0" fontId="0" fillId="6" borderId="10" xfId="0" applyFont="1" applyFill="1" applyBorder="1"/>
    <xf numFmtId="1" fontId="0" fillId="0" borderId="12" xfId="0" applyNumberFormat="1" applyBorder="1" applyAlignment="1">
      <alignment horizontal="center"/>
    </xf>
    <xf numFmtId="0" fontId="0" fillId="6" borderId="5" xfId="0" applyFont="1" applyFill="1" applyBorder="1"/>
    <xf numFmtId="0" fontId="0" fillId="13" borderId="24" xfId="0" applyFill="1" applyBorder="1"/>
    <xf numFmtId="0" fontId="0" fillId="13" borderId="25" xfId="0" applyFill="1" applyBorder="1"/>
    <xf numFmtId="0" fontId="0" fillId="5" borderId="5" xfId="0" applyFont="1" applyFill="1" applyBorder="1"/>
    <xf numFmtId="2" fontId="0" fillId="0" borderId="6" xfId="0" applyNumberFormat="1" applyBorder="1" applyAlignment="1">
      <alignment horizontal="center"/>
    </xf>
    <xf numFmtId="0" fontId="0" fillId="13" borderId="26" xfId="0" applyFill="1" applyBorder="1"/>
    <xf numFmtId="0" fontId="0" fillId="13" borderId="27" xfId="0" applyFill="1" applyBorder="1"/>
    <xf numFmtId="2" fontId="0" fillId="0" borderId="12" xfId="0" applyNumberFormat="1" applyBorder="1" applyAlignment="1">
      <alignment horizontal="center"/>
    </xf>
    <xf numFmtId="167" fontId="0" fillId="0" borderId="6" xfId="0" applyNumberFormat="1" applyBorder="1" applyAlignment="1">
      <alignment horizontal="center"/>
    </xf>
    <xf numFmtId="0" fontId="0" fillId="5" borderId="32" xfId="0" applyFont="1" applyFill="1" applyBorder="1"/>
    <xf numFmtId="2" fontId="0" fillId="0" borderId="33" xfId="0" applyNumberFormat="1" applyBorder="1" applyAlignment="1">
      <alignment horizontal="center"/>
    </xf>
    <xf numFmtId="0" fontId="0" fillId="13" borderId="22" xfId="0" applyFill="1" applyBorder="1"/>
    <xf numFmtId="0" fontId="0" fillId="13" borderId="23" xfId="0" applyFill="1" applyBorder="1"/>
    <xf numFmtId="167" fontId="0" fillId="0" borderId="33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166" fontId="0" fillId="0" borderId="33" xfId="0" applyNumberFormat="1" applyBorder="1" applyAlignment="1">
      <alignment horizontal="center"/>
    </xf>
    <xf numFmtId="0" fontId="0" fillId="5" borderId="7" xfId="0" applyFont="1" applyFill="1" applyBorder="1"/>
    <xf numFmtId="1" fontId="0" fillId="0" borderId="9" xfId="0" applyNumberFormat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167" fontId="0" fillId="0" borderId="12" xfId="0" applyNumberFormat="1" applyBorder="1" applyAlignment="1">
      <alignment horizontal="center"/>
    </xf>
    <xf numFmtId="0" fontId="0" fillId="11" borderId="5" xfId="0" applyFont="1" applyFill="1" applyBorder="1"/>
  </cellXfs>
  <cellStyles count="1">
    <cellStyle name="Normal" xfId="0" builtinId="0"/>
  </cellStyles>
  <dxfs count="3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167" formatCode="0.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border outline="0">
        <right style="thin">
          <color indexed="64"/>
        </right>
      </border>
    </dxf>
    <dxf>
      <numFmt numFmtId="166" formatCode="0.00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4AC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1.png"/><Relationship Id="rId5" Type="http://schemas.openxmlformats.org/officeDocument/2006/relationships/image" Target="../media/image6.png"/><Relationship Id="rId10" Type="http://schemas.openxmlformats.org/officeDocument/2006/relationships/image" Target="../media/image10.png"/><Relationship Id="rId4" Type="http://schemas.openxmlformats.org/officeDocument/2006/relationships/image" Target="../media/image5.png"/><Relationship Id="rId9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0.png"/><Relationship Id="rId3" Type="http://schemas.openxmlformats.org/officeDocument/2006/relationships/image" Target="../media/image15.png"/><Relationship Id="rId7" Type="http://schemas.openxmlformats.org/officeDocument/2006/relationships/image" Target="../media/image19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8.png"/><Relationship Id="rId5" Type="http://schemas.openxmlformats.org/officeDocument/2006/relationships/image" Target="../media/image17.png"/><Relationship Id="rId4" Type="http://schemas.openxmlformats.org/officeDocument/2006/relationships/image" Target="../media/image16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8.png"/><Relationship Id="rId3" Type="http://schemas.openxmlformats.org/officeDocument/2006/relationships/image" Target="../media/image23.png"/><Relationship Id="rId7" Type="http://schemas.openxmlformats.org/officeDocument/2006/relationships/image" Target="../media/image27.png"/><Relationship Id="rId2" Type="http://schemas.openxmlformats.org/officeDocument/2006/relationships/image" Target="../media/image22.png"/><Relationship Id="rId1" Type="http://schemas.openxmlformats.org/officeDocument/2006/relationships/image" Target="../media/image21.png"/><Relationship Id="rId6" Type="http://schemas.openxmlformats.org/officeDocument/2006/relationships/image" Target="../media/image26.png"/><Relationship Id="rId5" Type="http://schemas.openxmlformats.org/officeDocument/2006/relationships/image" Target="../media/image25.png"/><Relationship Id="rId10" Type="http://schemas.openxmlformats.org/officeDocument/2006/relationships/image" Target="../media/image30.png"/><Relationship Id="rId4" Type="http://schemas.openxmlformats.org/officeDocument/2006/relationships/image" Target="../media/image24.png"/><Relationship Id="rId9" Type="http://schemas.openxmlformats.org/officeDocument/2006/relationships/image" Target="../media/image29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38.png"/><Relationship Id="rId3" Type="http://schemas.openxmlformats.org/officeDocument/2006/relationships/image" Target="../media/image33.png"/><Relationship Id="rId7" Type="http://schemas.openxmlformats.org/officeDocument/2006/relationships/image" Target="../media/image37.png"/><Relationship Id="rId2" Type="http://schemas.openxmlformats.org/officeDocument/2006/relationships/image" Target="../media/image32.png"/><Relationship Id="rId1" Type="http://schemas.openxmlformats.org/officeDocument/2006/relationships/image" Target="../media/image31.png"/><Relationship Id="rId6" Type="http://schemas.openxmlformats.org/officeDocument/2006/relationships/image" Target="../media/image36.png"/><Relationship Id="rId11" Type="http://schemas.openxmlformats.org/officeDocument/2006/relationships/image" Target="../media/image41.png"/><Relationship Id="rId5" Type="http://schemas.openxmlformats.org/officeDocument/2006/relationships/image" Target="../media/image35.png"/><Relationship Id="rId10" Type="http://schemas.openxmlformats.org/officeDocument/2006/relationships/image" Target="../media/image40.png"/><Relationship Id="rId4" Type="http://schemas.openxmlformats.org/officeDocument/2006/relationships/image" Target="../media/image34.png"/><Relationship Id="rId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387350</xdr:colOff>
      <xdr:row>30</xdr:row>
      <xdr:rowOff>78440</xdr:rowOff>
    </xdr:from>
    <xdr:to>
      <xdr:col>14</xdr:col>
      <xdr:colOff>325731</xdr:colOff>
      <xdr:row>35</xdr:row>
      <xdr:rowOff>122168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3A4D629-35C9-4D8D-BBBE-D43D741F1D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77026" y="5457264"/>
          <a:ext cx="3064823" cy="94019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234950</xdr:colOff>
      <xdr:row>6</xdr:row>
      <xdr:rowOff>73026</xdr:rowOff>
    </xdr:from>
    <xdr:to>
      <xdr:col>7</xdr:col>
      <xdr:colOff>263525</xdr:colOff>
      <xdr:row>8</xdr:row>
      <xdr:rowOff>96445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A33B1-0D97-AC64-D93A-E51428C77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25850" y="1177926"/>
          <a:ext cx="1485900" cy="40441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184026</xdr:colOff>
      <xdr:row>4</xdr:row>
      <xdr:rowOff>73025</xdr:rowOff>
    </xdr:from>
    <xdr:to>
      <xdr:col>12</xdr:col>
      <xdr:colOff>1333623</xdr:colOff>
      <xdr:row>6</xdr:row>
      <xdr:rowOff>107196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083CBA-20F8-43C7-8BDE-13C69407AF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099301" y="815975"/>
          <a:ext cx="1146422" cy="41517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409576</xdr:colOff>
      <xdr:row>14</xdr:row>
      <xdr:rowOff>57150</xdr:rowOff>
    </xdr:from>
    <xdr:to>
      <xdr:col>7</xdr:col>
      <xdr:colOff>161926</xdr:colOff>
      <xdr:row>16</xdr:row>
      <xdr:rowOff>117082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EDDE385-F4A4-AC75-FE1B-C6A00527038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9748" b="1"/>
        <a:stretch>
          <a:fillRect/>
        </a:stretch>
      </xdr:blipFill>
      <xdr:spPr>
        <a:xfrm>
          <a:off x="3800476" y="2686050"/>
          <a:ext cx="1209675" cy="437757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93797</xdr:colOff>
      <xdr:row>25</xdr:row>
      <xdr:rowOff>130175</xdr:rowOff>
    </xdr:from>
    <xdr:to>
      <xdr:col>10</xdr:col>
      <xdr:colOff>390525</xdr:colOff>
      <xdr:row>27</xdr:row>
      <xdr:rowOff>85842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1B9AB47-D31E-AF22-C92F-BB7151CE3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848" b="5848"/>
        <a:stretch/>
      </xdr:blipFill>
      <xdr:spPr>
        <a:xfrm>
          <a:off x="6723197" y="4835525"/>
          <a:ext cx="1779453" cy="31444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161925</xdr:colOff>
      <xdr:row>24</xdr:row>
      <xdr:rowOff>73026</xdr:rowOff>
    </xdr:from>
    <xdr:to>
      <xdr:col>7</xdr:col>
      <xdr:colOff>361950</xdr:colOff>
      <xdr:row>28</xdr:row>
      <xdr:rowOff>50683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724CCB9-168D-71B7-B9FD-7F51A524DB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552825" y="4740276"/>
          <a:ext cx="1657350" cy="71743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352425</xdr:colOff>
      <xdr:row>14</xdr:row>
      <xdr:rowOff>123825</xdr:rowOff>
    </xdr:from>
    <xdr:to>
      <xdr:col>10</xdr:col>
      <xdr:colOff>120650</xdr:colOff>
      <xdr:row>18</xdr:row>
      <xdr:rowOff>47093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28114E6-1AAA-1FC8-2A79-4565F29FE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29325" y="2752725"/>
          <a:ext cx="1257300" cy="68844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349700</xdr:colOff>
      <xdr:row>5</xdr:row>
      <xdr:rowOff>85726</xdr:rowOff>
    </xdr:from>
    <xdr:to>
      <xdr:col>10</xdr:col>
      <xdr:colOff>104775</xdr:colOff>
      <xdr:row>7</xdr:row>
      <xdr:rowOff>56365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4A35B25-6436-F8F1-B7B7-C5F8765A44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26600" y="1019176"/>
          <a:ext cx="1237800" cy="35163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123826</xdr:colOff>
      <xdr:row>12</xdr:row>
      <xdr:rowOff>120651</xdr:rowOff>
    </xdr:from>
    <xdr:to>
      <xdr:col>12</xdr:col>
      <xdr:colOff>1361912</xdr:colOff>
      <xdr:row>14</xdr:row>
      <xdr:rowOff>47626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A05AC94-1A73-821A-9F05-11B32D76C5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905751" y="2378076"/>
          <a:ext cx="1238086" cy="29527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165099</xdr:colOff>
      <xdr:row>27</xdr:row>
      <xdr:rowOff>94852</xdr:rowOff>
    </xdr:from>
    <xdr:to>
      <xdr:col>3</xdr:col>
      <xdr:colOff>1236022</xdr:colOff>
      <xdr:row>32</xdr:row>
      <xdr:rowOff>104775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34C686B-C0E1-442A-9C20-3AF8A396A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84199" y="4047727"/>
          <a:ext cx="3071173" cy="94019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</xdr:col>
      <xdr:colOff>257175</xdr:colOff>
      <xdr:row>33</xdr:row>
      <xdr:rowOff>0</xdr:rowOff>
    </xdr:from>
    <xdr:to>
      <xdr:col>3</xdr:col>
      <xdr:colOff>1163460</xdr:colOff>
      <xdr:row>37</xdr:row>
      <xdr:rowOff>102020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A9EFB69-59AD-4E83-B98B-6EF46B0A30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t="5352" b="1"/>
        <a:stretch>
          <a:fillRect/>
        </a:stretch>
      </xdr:blipFill>
      <xdr:spPr>
        <a:xfrm>
          <a:off x="676275" y="5067300"/>
          <a:ext cx="2906535" cy="829095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12</xdr:col>
      <xdr:colOff>825500</xdr:colOff>
      <xdr:row>19</xdr:row>
      <xdr:rowOff>161925</xdr:rowOff>
    </xdr:from>
    <xdr:to>
      <xdr:col>13</xdr:col>
      <xdr:colOff>263525</xdr:colOff>
      <xdr:row>21</xdr:row>
      <xdr:rowOff>16046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8E9899E0-EBF9-DF82-0052-181B76385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664700" y="3743325"/>
          <a:ext cx="1143000" cy="225596"/>
        </a:xfrm>
        <a:prstGeom prst="rect">
          <a:avLst/>
        </a:prstGeom>
      </xdr:spPr>
    </xdr:pic>
    <xdr:clientData/>
  </xdr:twoCellAnchor>
  <xdr:twoCellAnchor editAs="oneCell">
    <xdr:from>
      <xdr:col>12</xdr:col>
      <xdr:colOff>15875</xdr:colOff>
      <xdr:row>30</xdr:row>
      <xdr:rowOff>64466</xdr:rowOff>
    </xdr:from>
    <xdr:to>
      <xdr:col>13</xdr:col>
      <xdr:colOff>1143001</xdr:colOff>
      <xdr:row>32</xdr:row>
      <xdr:rowOff>111208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DA03E4D-569D-788F-B717-B4C2F0A57A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855075" y="5712791"/>
          <a:ext cx="2832101" cy="40869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38100</xdr:colOff>
      <xdr:row>5</xdr:row>
      <xdr:rowOff>44451</xdr:rowOff>
    </xdr:from>
    <xdr:to>
      <xdr:col>7</xdr:col>
      <xdr:colOff>19050</xdr:colOff>
      <xdr:row>7</xdr:row>
      <xdr:rowOff>2911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3DC816-2003-8729-C189-D11217FDC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03550" y="965201"/>
          <a:ext cx="1784350" cy="32041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6</xdr:col>
      <xdr:colOff>50800</xdr:colOff>
      <xdr:row>19</xdr:row>
      <xdr:rowOff>44451</xdr:rowOff>
    </xdr:from>
    <xdr:to>
      <xdr:col>7</xdr:col>
      <xdr:colOff>78739</xdr:colOff>
      <xdr:row>20</xdr:row>
      <xdr:rowOff>123826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6AA814-D815-5F5D-B0AA-1EA4AD409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16250" y="2254251"/>
          <a:ext cx="1831339" cy="26670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6</xdr:col>
      <xdr:colOff>44450</xdr:colOff>
      <xdr:row>12</xdr:row>
      <xdr:rowOff>31751</xdr:rowOff>
    </xdr:from>
    <xdr:to>
      <xdr:col>8</xdr:col>
      <xdr:colOff>104777</xdr:colOff>
      <xdr:row>14</xdr:row>
      <xdr:rowOff>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9C4ECB8-93E7-8DA5-8701-65CFEA441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530600" y="2241551"/>
          <a:ext cx="2349502" cy="33655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6</xdr:col>
      <xdr:colOff>31751</xdr:colOff>
      <xdr:row>26</xdr:row>
      <xdr:rowOff>34442</xdr:rowOff>
    </xdr:from>
    <xdr:to>
      <xdr:col>8</xdr:col>
      <xdr:colOff>200026</xdr:colOff>
      <xdr:row>27</xdr:row>
      <xdr:rowOff>162213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8C11646-D35F-35B9-B171-192D85936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702051" y="4822342"/>
          <a:ext cx="2463800" cy="30874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9</xdr:col>
      <xdr:colOff>44451</xdr:colOff>
      <xdr:row>16</xdr:row>
      <xdr:rowOff>38100</xdr:rowOff>
    </xdr:from>
    <xdr:to>
      <xdr:col>11</xdr:col>
      <xdr:colOff>142876</xdr:colOff>
      <xdr:row>18</xdr:row>
      <xdr:rowOff>46102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DAE165E-CBDA-4D7E-856D-EACD1A3B0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61101" y="2800350"/>
          <a:ext cx="2260600" cy="37947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9</xdr:col>
      <xdr:colOff>38100</xdr:colOff>
      <xdr:row>24</xdr:row>
      <xdr:rowOff>38100</xdr:rowOff>
    </xdr:from>
    <xdr:to>
      <xdr:col>11</xdr:col>
      <xdr:colOff>162886</xdr:colOff>
      <xdr:row>26</xdr:row>
      <xdr:rowOff>47625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C7F5AF4-992A-794F-6ECE-1A1C07A1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254750" y="4273550"/>
          <a:ext cx="2293311" cy="37465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9</xdr:col>
      <xdr:colOff>48713</xdr:colOff>
      <xdr:row>7</xdr:row>
      <xdr:rowOff>47626</xdr:rowOff>
    </xdr:from>
    <xdr:to>
      <xdr:col>10</xdr:col>
      <xdr:colOff>390525</xdr:colOff>
      <xdr:row>9</xdr:row>
      <xdr:rowOff>74569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CF6D8E9-2FB6-F62A-7178-55999EDEA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259013" y="1314451"/>
          <a:ext cx="1970587" cy="388893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</xdr:col>
      <xdr:colOff>178529</xdr:colOff>
      <xdr:row>19</xdr:row>
      <xdr:rowOff>53975</xdr:rowOff>
    </xdr:from>
    <xdr:to>
      <xdr:col>3</xdr:col>
      <xdr:colOff>1130300</xdr:colOff>
      <xdr:row>24</xdr:row>
      <xdr:rowOff>84654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5E60E80-1284-C9A0-CE17-F2E33EC44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35729" y="3492500"/>
          <a:ext cx="2837721" cy="93555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365125</xdr:colOff>
      <xdr:row>15</xdr:row>
      <xdr:rowOff>69850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7D93228-2427-AE6C-95FA-926A5DE40A9D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8</xdr:col>
      <xdr:colOff>365125</xdr:colOff>
      <xdr:row>15</xdr:row>
      <xdr:rowOff>69850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82D198B-2839-0C34-0A3F-97D77546D510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8</xdr:col>
      <xdr:colOff>365125</xdr:colOff>
      <xdr:row>15</xdr:row>
      <xdr:rowOff>69850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1E65F7A-2C9F-1659-896B-E874B67D80E6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8</xdr:col>
      <xdr:colOff>365125</xdr:colOff>
      <xdr:row>15</xdr:row>
      <xdr:rowOff>69850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224F856-3B20-43D5-1098-EE0A6AAA6F41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twoCellAnchor editAs="oneCell">
    <xdr:from>
      <xdr:col>3</xdr:col>
      <xdr:colOff>38100</xdr:colOff>
      <xdr:row>7</xdr:row>
      <xdr:rowOff>44108</xdr:rowOff>
    </xdr:from>
    <xdr:to>
      <xdr:col>5</xdr:col>
      <xdr:colOff>740515</xdr:colOff>
      <xdr:row>8</xdr:row>
      <xdr:rowOff>101674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B3745DD-A22D-7BBF-473B-C419297B2E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17900" y="1333158"/>
          <a:ext cx="2404215" cy="24171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9</xdr:col>
      <xdr:colOff>38100</xdr:colOff>
      <xdr:row>14</xdr:row>
      <xdr:rowOff>40310</xdr:rowOff>
    </xdr:from>
    <xdr:to>
      <xdr:col>10</xdr:col>
      <xdr:colOff>219552</xdr:colOff>
      <xdr:row>16</xdr:row>
      <xdr:rowOff>69085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7B441497-A70E-2B95-8CAB-A8CADC076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648700" y="2618410"/>
          <a:ext cx="1546702" cy="397075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3</xdr:col>
      <xdr:colOff>44450</xdr:colOff>
      <xdr:row>21</xdr:row>
      <xdr:rowOff>57111</xdr:rowOff>
    </xdr:from>
    <xdr:to>
      <xdr:col>5</xdr:col>
      <xdr:colOff>57586</xdr:colOff>
      <xdr:row>23</xdr:row>
      <xdr:rowOff>35011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818FEEA-413B-A327-619C-A964F0BDA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524250" y="3924261"/>
          <a:ext cx="1714936" cy="33985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3</xdr:col>
      <xdr:colOff>50800</xdr:colOff>
      <xdr:row>14</xdr:row>
      <xdr:rowOff>50801</xdr:rowOff>
    </xdr:from>
    <xdr:to>
      <xdr:col>5</xdr:col>
      <xdr:colOff>238693</xdr:colOff>
      <xdr:row>15</xdr:row>
      <xdr:rowOff>95251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AE5CD285-D122-0394-4267-2C08EEF3B8B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t="19146" b="15468"/>
        <a:stretch>
          <a:fillRect/>
        </a:stretch>
      </xdr:blipFill>
      <xdr:spPr>
        <a:xfrm>
          <a:off x="3530600" y="2628901"/>
          <a:ext cx="1889693" cy="22860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12</xdr:col>
      <xdr:colOff>44450</xdr:colOff>
      <xdr:row>25</xdr:row>
      <xdr:rowOff>44450</xdr:rowOff>
    </xdr:from>
    <xdr:to>
      <xdr:col>16</xdr:col>
      <xdr:colOff>279110</xdr:colOff>
      <xdr:row>27</xdr:row>
      <xdr:rowOff>38100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EFD232E-AE10-CFA8-D7FE-C87290F89A4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t="12298"/>
        <a:stretch>
          <a:fillRect/>
        </a:stretch>
      </xdr:blipFill>
      <xdr:spPr>
        <a:xfrm>
          <a:off x="10210800" y="4464050"/>
          <a:ext cx="3578842" cy="36195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12</xdr:col>
      <xdr:colOff>25400</xdr:colOff>
      <xdr:row>14</xdr:row>
      <xdr:rowOff>44116</xdr:rowOff>
    </xdr:from>
    <xdr:to>
      <xdr:col>13</xdr:col>
      <xdr:colOff>423056</xdr:colOff>
      <xdr:row>17</xdr:row>
      <xdr:rowOff>993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E8FB7C7-0426-9ED0-7BBE-90497EEE6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191750" y="2438066"/>
          <a:ext cx="1895803" cy="498895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6</xdr:col>
      <xdr:colOff>38100</xdr:colOff>
      <xdr:row>5</xdr:row>
      <xdr:rowOff>44451</xdr:rowOff>
    </xdr:from>
    <xdr:to>
      <xdr:col>8</xdr:col>
      <xdr:colOff>533400</xdr:colOff>
      <xdr:row>7</xdr:row>
      <xdr:rowOff>6351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252CFF-E605-9D17-548F-3E01EC90A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848350" y="965201"/>
          <a:ext cx="1968500" cy="33020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6</xdr:col>
      <xdr:colOff>38100</xdr:colOff>
      <xdr:row>16</xdr:row>
      <xdr:rowOff>31750</xdr:rowOff>
    </xdr:from>
    <xdr:to>
      <xdr:col>8</xdr:col>
      <xdr:colOff>927100</xdr:colOff>
      <xdr:row>18</xdr:row>
      <xdr:rowOff>74661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F816188-019B-C275-751B-7882F7BBE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943600" y="2978150"/>
          <a:ext cx="2362200" cy="417561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9</xdr:col>
      <xdr:colOff>50800</xdr:colOff>
      <xdr:row>5</xdr:row>
      <xdr:rowOff>63500</xdr:rowOff>
    </xdr:from>
    <xdr:to>
      <xdr:col>10</xdr:col>
      <xdr:colOff>114300</xdr:colOff>
      <xdr:row>7</xdr:row>
      <xdr:rowOff>101687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5F767A3-7282-52E1-04EB-6CBE04395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566150" y="984250"/>
          <a:ext cx="1435100" cy="41283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12</xdr:col>
      <xdr:colOff>38100</xdr:colOff>
      <xdr:row>6</xdr:row>
      <xdr:rowOff>58792</xdr:rowOff>
    </xdr:from>
    <xdr:to>
      <xdr:col>14</xdr:col>
      <xdr:colOff>228145</xdr:colOff>
      <xdr:row>8</xdr:row>
      <xdr:rowOff>171547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58A38208-4D1D-7284-C676-76CEF351E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718800" y="1163692"/>
          <a:ext cx="2210252" cy="481055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44451</xdr:colOff>
      <xdr:row>5</xdr:row>
      <xdr:rowOff>31751</xdr:rowOff>
    </xdr:from>
    <xdr:to>
      <xdr:col>8</xdr:col>
      <xdr:colOff>133351</xdr:colOff>
      <xdr:row>6</xdr:row>
      <xdr:rowOff>131705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DA41529-F3D3-A261-7391-54F5035635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07051" y="952501"/>
          <a:ext cx="1917700" cy="28410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6</xdr:col>
      <xdr:colOff>31750</xdr:colOff>
      <xdr:row>12</xdr:row>
      <xdr:rowOff>57151</xdr:rowOff>
    </xdr:from>
    <xdr:to>
      <xdr:col>8</xdr:col>
      <xdr:colOff>96603</xdr:colOff>
      <xdr:row>13</xdr:row>
      <xdr:rowOff>177801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B4AF9A5-8424-CAF8-2A15-7FBC48E88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03850" y="2266951"/>
          <a:ext cx="1893653" cy="30480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9</xdr:col>
      <xdr:colOff>42189</xdr:colOff>
      <xdr:row>8</xdr:row>
      <xdr:rowOff>34925</xdr:rowOff>
    </xdr:from>
    <xdr:to>
      <xdr:col>13</xdr:col>
      <xdr:colOff>266407</xdr:colOff>
      <xdr:row>10</xdr:row>
      <xdr:rowOff>6350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AECFD3A-98ED-D362-BC78-6687258ACA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554239" y="1508125"/>
          <a:ext cx="2707068" cy="339725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3</xdr:col>
      <xdr:colOff>31751</xdr:colOff>
      <xdr:row>5</xdr:row>
      <xdr:rowOff>25400</xdr:rowOff>
    </xdr:from>
    <xdr:to>
      <xdr:col>5</xdr:col>
      <xdr:colOff>285751</xdr:colOff>
      <xdr:row>7</xdr:row>
      <xdr:rowOff>56929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E7D476C-57AB-4FD5-4056-F29DB5D2FB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03551" y="946150"/>
          <a:ext cx="1809750" cy="39982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3</xdr:col>
      <xdr:colOff>38101</xdr:colOff>
      <xdr:row>22</xdr:row>
      <xdr:rowOff>50800</xdr:rowOff>
    </xdr:from>
    <xdr:to>
      <xdr:col>5</xdr:col>
      <xdr:colOff>774701</xdr:colOff>
      <xdr:row>24</xdr:row>
      <xdr:rowOff>90461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D41FE23E-7C9F-4D4A-C5E3-913E1FF79E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009901" y="4286250"/>
          <a:ext cx="2292350" cy="407961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3</xdr:col>
      <xdr:colOff>38101</xdr:colOff>
      <xdr:row>14</xdr:row>
      <xdr:rowOff>38100</xdr:rowOff>
    </xdr:from>
    <xdr:to>
      <xdr:col>5</xdr:col>
      <xdr:colOff>336551</xdr:colOff>
      <xdr:row>16</xdr:row>
      <xdr:rowOff>42834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69678F6C-73E2-0BBA-6D7F-0985C3D4C3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009901" y="2616200"/>
          <a:ext cx="1854200" cy="37303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9</xdr:col>
      <xdr:colOff>25401</xdr:colOff>
      <xdr:row>16</xdr:row>
      <xdr:rowOff>40506</xdr:rowOff>
    </xdr:from>
    <xdr:to>
      <xdr:col>12</xdr:col>
      <xdr:colOff>393701</xdr:colOff>
      <xdr:row>18</xdr:row>
      <xdr:rowOff>1977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D212431-5434-EF71-90C9-1F4C48AA4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537451" y="2986906"/>
          <a:ext cx="2241550" cy="329771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14</xdr:col>
      <xdr:colOff>50800</xdr:colOff>
      <xdr:row>6</xdr:row>
      <xdr:rowOff>38101</xdr:rowOff>
    </xdr:from>
    <xdr:to>
      <xdr:col>17</xdr:col>
      <xdr:colOff>184150</xdr:colOff>
      <xdr:row>8</xdr:row>
      <xdr:rowOff>79201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73E5D3F-0436-CFC9-610C-3A4C9C1F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655300" y="1143001"/>
          <a:ext cx="2260600" cy="40940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14</xdr:col>
      <xdr:colOff>63500</xdr:colOff>
      <xdr:row>14</xdr:row>
      <xdr:rowOff>38101</xdr:rowOff>
    </xdr:from>
    <xdr:to>
      <xdr:col>16</xdr:col>
      <xdr:colOff>540579</xdr:colOff>
      <xdr:row>15</xdr:row>
      <xdr:rowOff>171451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9FDF0E08-C5B7-84A3-C0FD-84F0BB353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668000" y="2616201"/>
          <a:ext cx="1994729" cy="31750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6</xdr:col>
      <xdr:colOff>63501</xdr:colOff>
      <xdr:row>27</xdr:row>
      <xdr:rowOff>57150</xdr:rowOff>
    </xdr:from>
    <xdr:to>
      <xdr:col>7</xdr:col>
      <xdr:colOff>38101</xdr:colOff>
      <xdr:row>28</xdr:row>
      <xdr:rowOff>174294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7E00CA5F-079C-F762-F186-E9434E06B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734051" y="5029200"/>
          <a:ext cx="1358900" cy="30129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6</xdr:col>
      <xdr:colOff>57151</xdr:colOff>
      <xdr:row>20</xdr:row>
      <xdr:rowOff>57151</xdr:rowOff>
    </xdr:from>
    <xdr:to>
      <xdr:col>8</xdr:col>
      <xdr:colOff>38101</xdr:colOff>
      <xdr:row>22</xdr:row>
      <xdr:rowOff>25279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1EB192AF-5F9A-81F9-3883-0330D4BDCE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727701" y="3740151"/>
          <a:ext cx="1809750" cy="33642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A51FEF-4642-4801-A998-5B5D5B7E25A4}" name="CAL_Vsense" displayName="CAL_Vsense" ref="B41:H42" totalsRowShown="0" headerRowDxfId="35" dataDxfId="34" tableBorderDxfId="33">
  <autoFilter ref="B41:H42" xr:uid="{E3A51FEF-4642-4801-A998-5B5D5B7E25A4}"/>
  <tableColumns count="7">
    <tableColumn id="1" xr3:uid="{72CE8DA8-6563-4322-AABC-36ACF43055CB}" name="Rbot (Ω)" dataDxfId="32">
      <calculatedColumnFormula>HMI!T16</calculatedColumnFormula>
    </tableColumn>
    <tableColumn id="2" xr3:uid="{24747B59-61B7-4C72-90DC-263488210056}" name="Rbot/Rtop" dataDxfId="31"/>
    <tableColumn id="3" xr3:uid="{DDE3289D-88E0-4C7D-87FD-D3D69E79F10D}" name="Rtop (Ω)" dataDxfId="30">
      <calculatedColumnFormula>HMI!T17</calculatedColumnFormula>
    </tableColumn>
    <tableColumn id="4" xr3:uid="{6958CE2B-2C13-409D-93AE-44178BFFDA66}" name="Rth (Ω)" dataDxfId="29">
      <calculatedColumnFormula>CAL_Vsense[[#This Row],[Rtop (Ω)]]*CAL_Vsense[[#This Row],[Rbot (Ω)]]/(CAL_Vsense[[#This Row],[Rbot (Ω)]]+CAL_Vsense[[#This Row],[Rtop (Ω)]])+Radc</calculatedColumnFormula>
    </tableColumn>
    <tableColumn id="5" xr3:uid="{11134CB2-C2E0-49B7-9A9A-CCA3E473CAA8}" name="Iadc (mA)" dataDxfId="28">
      <calculatedColumnFormula array="1">DB_ADC[Vref,adc (V)]/CAL_Vsense[[#This Row],[Rth (Ω)]]*1000</calculatedColumnFormula>
    </tableColumn>
    <tableColumn id="6" xr3:uid="{C0D5F77C-6884-4436-8011-5E3C9BAF9068}" name="R_CinToAdc (Ω)" dataDxfId="27">
      <calculatedColumnFormula array="1">HMI!T20*#REF!/1000</calculatedColumnFormula>
    </tableColumn>
    <tableColumn id="7" xr3:uid="{33243AAC-B51F-4185-98EF-90101F594D74}" name="S*RCint (ps)" dataDxfId="26">
      <calculatedColumnFormula>HMI!T21*CAL_Vsense[[#This Row],[R_CinToAdc (Ω)]]*HMI!T20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1DD96E-7100-4CD1-9FCC-4539084BC6B8}" name="Table8" displayName="Table8" ref="B3:G14" totalsRowShown="0" headerRowDxfId="25" dataDxfId="23" headerRowBorderDxfId="24" tableBorderDxfId="22" totalsRowBorderDxfId="21">
  <autoFilter ref="B3:G14" xr:uid="{E81DD96E-7100-4CD1-9FCC-4539084BC6B8}"/>
  <tableColumns count="6">
    <tableColumn id="1" xr3:uid="{11F74BC1-EDA3-4B09-9543-C91ACD28F6D6}" name="Rshunt (µOhm)" dataDxfId="20">
      <calculatedColumnFormula>B3+100</calculatedColumnFormula>
    </tableColumn>
    <tableColumn id="2" xr3:uid="{F22209D4-D5F7-4A24-A22E-BCB1F60E1A02}" name="Disspated power (W)" dataDxfId="19">
      <calculatedColumnFormula>B4*$J$5*$J$5/1000/1000*$J$3/100</calculatedColumnFormula>
    </tableColumn>
    <tableColumn id="3" xr3:uid="{D529F738-8D82-4F6B-AFA8-BE5DBAB5E958}" name="Voltage drop spike amp (V)" dataDxfId="18">
      <calculatedColumnFormula>$J$6*B4/1000*$J$12/1000</calculatedColumnFormula>
    </tableColumn>
    <tableColumn id="4" xr3:uid="{DA16F6C7-9239-4007-9C54-6D51F73E46DA}" name="Voltage drop max amp (V)" dataDxfId="17">
      <calculatedColumnFormula>$J$5*B4/1000*$J$12/1000</calculatedColumnFormula>
    </tableColumn>
    <tableColumn id="6" xr3:uid="{B27B3633-2D8E-48A1-A695-660FCB0A39C1}" name="Voltage drop typ amp (V)2" dataDxfId="16">
      <calculatedColumnFormula>$J$4*B4/1000*$J$12/1000</calculatedColumnFormula>
    </tableColumn>
    <tableColumn id="5" xr3:uid="{F4370240-49C3-4C3D-A378-B3808740E62D}" name="mA/step" dataDxfId="15">
      <calculatedColumnFormula>$J$6/(D4/1000*$J$10/$J$8)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79270D-7167-4A91-9272-B7E98D98AAFF}" name="DB_limits" displayName="DB_limits" ref="A1:X7" totalsRowShown="0">
  <autoFilter ref="A1:X7" xr:uid="{1879270D-7167-4A91-9272-B7E98D98AAFF}"/>
  <tableColumns count="24">
    <tableColumn id="1" xr3:uid="{B4422181-E614-40D0-A64D-7B1763D76B50}" name="Name"/>
    <tableColumn id="2" xr3:uid="{2E74BA3B-503E-4F84-9D2A-DC73F1C08DCE}" name="Frame size (&quot;)"/>
    <tableColumn id="3" xr3:uid="{A82EBA80-E175-4B71-9E44-29675FB8BB1D}" name="Dmax (%)"/>
    <tableColumn id="4" xr3:uid="{8032F332-0D5F-43B9-A99E-DFD0D0BDBE16}" name="Fmax (kHz)"/>
    <tableColumn id="5" xr3:uid="{87C968FC-BA64-4831-8CF3-FC8D602F365C}" name="Fmin (kHz)"/>
    <tableColumn id="6" xr3:uid="{8F55B8AB-DC3E-49D2-B4EF-97CF3A06A5E4}" name="Batt max (S)"/>
    <tableColumn id="7" xr3:uid="{27F7A226-A952-4E8E-91DD-64D2A29265DF}" name="Batt min (S)"/>
    <tableColumn id="8" xr3:uid="{4335B94F-D32A-47F7-BE57-7F8ECD019DEC}" name="Cell max (V)"/>
    <tableColumn id="9" xr3:uid="{4E5EBA7C-2C00-4BBE-9EC3-87D5A91A95C0}" name="Cell typ (V)"/>
    <tableColumn id="10" xr3:uid="{6F8437E8-9410-4132-A985-595C3A5D9DC7}" name="Cell min (V)"/>
    <tableColumn id="11" xr3:uid="{B56D3F61-F357-4295-9DDC-CEBAEC29120A}" name="Vbat,typ (V)">
      <calculatedColumnFormula>H2*F2</calculatedColumnFormula>
    </tableColumn>
    <tableColumn id="12" xr3:uid="{633A4DEC-22E5-4807-951C-7FF8125F82E8}" name="Vbat,min (V)">
      <calculatedColumnFormula>J2*G2</calculatedColumnFormula>
    </tableColumn>
    <tableColumn id="23" xr3:uid="{29788897-CB42-4E9A-A552-359EC992D184}" name="Vbat spike (V) @ run"/>
    <tableColumn id="22" xr3:uid="{1CD150F5-8529-4C25-92FE-7DDCD302D6A1}" name="Vph spike (V) @ run"/>
    <tableColumn id="13" xr3:uid="{4FF933C2-A7D5-4E16-BC67-C4D219FA2202}" name="Vbat spike (V) @ disarm"/>
    <tableColumn id="14" xr3:uid="{FCE6FF8F-210D-480B-9391-8E76D52EFF30}" name="Vph spike (V) @ disarm"/>
    <tableColumn id="17" xr3:uid="{8828BB6B-7ABC-4BA6-9E1B-5C5BE5105F08}" name="Iph typ (A)"/>
    <tableColumn id="18" xr3:uid="{1F68324A-F399-4C91-BE2D-EFEF49ED6790}" name="ToF Iph typ (%)"/>
    <tableColumn id="15" xr3:uid="{5ED528D3-58D8-4741-86F9-6B25ECFBAFAE}" name="Iph max (A@Xs)"/>
    <tableColumn id="19" xr3:uid="{305A20A8-F4F6-4F6B-BAC2-2A71E7628C5B}" name="ToF Iph max (%)" dataDxfId="11">
      <calculatedColumnFormula>100-DB_limits[[#This Row],[ToF Iph typ (%)]]-DB_limits[[#This Row],[ToF Iph spike (%)]]</calculatedColumnFormula>
    </tableColumn>
    <tableColumn id="16" xr3:uid="{4D711E23-0E80-41C8-A566-2B43E0C79E4C}" name="Iph spike (A@Xms)"/>
    <tableColumn id="20" xr3:uid="{0DE3AE78-D822-41D8-B4E1-38C2CE21BE19}" name="ToF Iph spike (%)"/>
    <tableColumn id="21" xr3:uid="{0DD4A4A7-CFA4-4B62-89A9-A58896065868}" name="Iph mean (A)" dataDxfId="10">
      <calculatedColumnFormula>DB_limits[[#This Row],[Iph typ (A)]]*DB_limits[[#This Row],[ToF Iph typ (%)]]%+DB_limits[[#This Row],[Iph max (A@Xs)]]*DB_limits[[#This Row],[ToF Iph max (%)]]%+DB_limits[[#This Row],[Iph spike (A@Xms)]]*DB_limits[[#This Row],[ToF Iph spike (%)]]%</calculatedColumnFormula>
    </tableColumn>
    <tableColumn id="24" xr3:uid="{47619F70-8E0D-4CA7-A6D9-A367CF759D25}" name="t_blank@V_sw=0 (ns)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D060DC-1A0E-4C6B-B8ED-355A99E0726F}" name="DB_R" displayName="DB_R" ref="A1:H78" totalsRowShown="0">
  <autoFilter ref="A1:H78" xr:uid="{63D060DC-1A0E-4C6B-B8ED-355A99E0726F}"/>
  <tableColumns count="8">
    <tableColumn id="1" xr3:uid="{DBB93FE2-51C5-454A-AC99-D8757287ABB9}" name="Description" dataDxfId="9">
      <calculatedColumnFormula>IF(B2&gt;1000,C2&amp; "kΩ, ",B2&amp; "Ω, ")  &amp; DB_R[[#This Row],[Package (m)]]</calculatedColumnFormula>
    </tableColumn>
    <tableColumn id="2" xr3:uid="{AF373A17-D484-41B5-BED8-19D683DD5125}" name="R (Ω)"/>
    <tableColumn id="8" xr3:uid="{E1D5325B-C0E2-4318-8B8F-5A97FC83BDE8}" name="R (kΩ)" dataDxfId="8">
      <calculatedColumnFormula>DB_R[[#This Row],[R (Ω)]]/1000</calculatedColumnFormula>
    </tableColumn>
    <tableColumn id="3" xr3:uid="{1869FA9B-CD3D-4490-9D7D-AF79F51E8B42}" name="Prated@70°C (W)"/>
    <tableColumn id="4" xr3:uid="{FFB77188-A967-4E66-B819-72B42AD6014E}" name="Package (inch)" dataDxfId="7"/>
    <tableColumn id="5" xr3:uid="{E4155B5D-359A-41BB-92C6-28261E84BA95}" name="Package (m)" dataDxfId="6"/>
    <tableColumn id="6" xr3:uid="{36F66B56-514C-403F-A857-E620F0D85ADB}" name="Name"/>
    <tableColumn id="7" xr3:uid="{C45470D4-A248-41F0-8FEA-BCC9DDBB36BB}" name="Basi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453856-DA2E-4441-BB62-2DCA129951B5}" name="DB_diode" displayName="DB_diode" ref="A1:B2" totalsRowShown="0">
  <autoFilter ref="A1:B2" xr:uid="{CB453856-DA2E-4441-BB62-2DCA129951B5}"/>
  <tableColumns count="2">
    <tableColumn id="1" xr3:uid="{98771A35-906A-4FE1-9070-81FA4EAD368A}" name="Ref"/>
    <tableColumn id="2" xr3:uid="{A71713CA-FDE8-4C8F-830D-DDECF6BD4C10}" name="Vf@100mA (V)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4BD57B-6D35-4BF3-9428-507881775801}" name="DB_GD" displayName="DB_GD" ref="A1:L2" totalsRowShown="0">
  <autoFilter ref="A1:L2" xr:uid="{A34BD57B-6D35-4BF3-9428-507881775801}"/>
  <tableColumns count="12">
    <tableColumn id="1" xr3:uid="{5EC18DCB-057E-40A4-B8FE-A2BDD4F9A074}" name="Part"/>
    <tableColumn id="2" xr3:uid="{5A1125D7-7B8C-416A-BE3D-F7D2E7BCDEBB}" name="Vhbr (V)"/>
    <tableColumn id="3" xr3:uid="{148F96F7-B000-493C-93E9-407B2216AD3C}" name="Vhbh,max (V)"/>
    <tableColumn id="4" xr3:uid="{C96FC6B9-1F0A-4673-9AC2-870910302E96}" name="Rboot,int (Ω)"/>
    <tableColumn id="5" xr3:uid="{85B22249-EB61-47EC-A431-5A73B67F0648}" name="Ihb (mA)"/>
    <tableColumn id="6" xr3:uid="{3B29F630-DA92-48B2-BC86-51CB0413050D}" name="Ihbs (mA)"/>
    <tableColumn id="7" xr3:uid="{F5BBF8CD-A00B-4CC4-93EA-5CD4C3FB9A2D}" name="Vout (V)"/>
    <tableColumn id="8" xr3:uid="{B2C92C99-E84C-4E87-AC27-98C5345E42F1}" name="Rpu,hs (Ω)"/>
    <tableColumn id="9" xr3:uid="{CB007C9A-93E6-47D4-9AA6-6314055D5F08}" name="Rpu,ls (Ω)"/>
    <tableColumn id="10" xr3:uid="{B1EAD3E1-F8F8-4E9B-B7A1-5E34CE7A7E94}" name="Rpd,hs (Ω)"/>
    <tableColumn id="11" xr3:uid="{96995BDE-55D7-4F20-A6F0-2A6835E6C8D2}" name="Rpd,ls (Ω)"/>
    <tableColumn id="12" xr3:uid="{BB1E9588-2ED7-4B2A-9625-4B0402C2E57A}" name="Vfint,100mA (V)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33B545B-C473-4B40-ADA6-D1F6CDF06A9D}" name="DB_Mostfet" displayName="DB_Mostfet" ref="A1:Q9" totalsRowShown="0">
  <autoFilter ref="A1:Q9" xr:uid="{433B545B-C473-4B40-ADA6-D1F6CDF06A9D}"/>
  <tableColumns count="17">
    <tableColumn id="1" xr3:uid="{684B9A65-FB83-4A59-B965-009671CFF340}" name="Part"/>
    <tableColumn id="2" xr3:uid="{A28ABCF8-15D9-4384-8566-09AA6702FC54}" name="Manifacturer"/>
    <tableColumn id="10" xr3:uid="{7A5152DA-CE78-4023-87B5-940B57692110}" name="Vds (V)"/>
    <tableColumn id="4" xr3:uid="{B1D4BF4A-B7FD-437D-9BF1-76FB08F5A0BC}" name="Rds,on@10V typ(mΩ)"/>
    <tableColumn id="5" xr3:uid="{9E36CA0A-030E-45D6-80B5-44EACE4CF9C1}" name="Rds,on@10V max (mΩ)"/>
    <tableColumn id="3" xr3:uid="{B36DB100-BC6C-4604-AFA9-893484874261}" name="Qg,typ @ 10V (nC)"/>
    <tableColumn id="18" xr3:uid="{AE11D89E-7D09-439D-A957-B257CDAE4013}" name="Qg,max @ 10V (nC)"/>
    <tableColumn id="19" xr3:uid="{55C0F480-C3C0-4174-A4E9-9924DC4E5206}" name="Qg,typ,sync @ 10V (nC)" dataDxfId="14"/>
    <tableColumn id="11" xr3:uid="{EFF1EF6B-1B94-4403-96A6-8F379D253341}" name="Id @ Tc=25°C (A)"/>
    <tableColumn id="12" xr3:uid="{2CF664C6-5A37-4198-A82C-CB83562A34CE}" name="Id @ Tc&gt;70°C (A)"/>
    <tableColumn id="15" xr3:uid="{5F19FBAC-6ADA-4394-8342-979B1F1DEDE7}" name="Id @ Ta=25°C (A)" dataDxfId="13"/>
    <tableColumn id="14" xr3:uid="{6F591E39-1B6D-4062-9BE0-8B0277C5FCF7}" name="Id @ Ta&gt;70°C (A)" dataDxfId="12"/>
    <tableColumn id="13" xr3:uid="{C7A711FC-0D57-4B8A-BB26-68DC361E005C}" name="Id,pulsed (A)"/>
    <tableColumn id="6" xr3:uid="{444A3D52-40D0-416F-A1B0-B9B0EB9CB918}" name="Rise time (ns)"/>
    <tableColumn id="7" xr3:uid="{0FF757B6-A521-4328-92D2-DC9B4DD9039B}" name="Fall time (ns)"/>
    <tableColumn id="16" xr3:uid="{2E1FBA14-5659-492A-80AD-51C31D984E27}" name="Size (mm)"/>
    <tableColumn id="8" xr3:uid="{DB1338F5-CAB0-4291-917A-5953A13AC6B1}" name="JLCPBC stock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D445913-5DB2-487E-9CF8-D462B6CF82FE}" name="DB_ADC" displayName="DB_ADC" ref="A1:G2" totalsRowShown="0">
  <autoFilter ref="A1:G2" xr:uid="{4D445913-5DB2-487E-9CF8-D462B6CF82FE}"/>
  <tableColumns count="7">
    <tableColumn id="1" xr3:uid="{0177AD76-5BE5-4F85-96A2-400D3F5E4565}" name="Name"/>
    <tableColumn id="4" xr3:uid="{2B471E9B-6758-4DEE-9999-F8CDA58ED934}" name="Vref,adc (V)"/>
    <tableColumn id="5" xr3:uid="{4A4F57B9-E128-4533-9E88-3DEB5AC39471}" name="Vmax (V)">
      <calculatedColumnFormula>DB_ADC[[#This Row],[Vref,adc (V)]]+0.3</calculatedColumnFormula>
    </tableColumn>
    <tableColumn id="6" xr3:uid="{024B3B03-8354-4E20-8FDB-FEE3DD0DAC7D}" name="Csamp (pF)"/>
    <tableColumn id="7" xr3:uid="{71EAE56C-7786-4272-AB14-E79BB1020D87}" name="Fadc,clock(MHz)" dataDxfId="5"/>
    <tableColumn id="2" xr3:uid="{F391904B-0620-4A43-9BB6-C6F0F8B772B8}" name="Tadc,clock (ns)" dataDxfId="4">
      <calculatedColumnFormula>1/DB_ADC[[#This Row],[Fadc,clock(MHz)]]*10^3</calculatedColumnFormula>
    </tableColumn>
    <tableColumn id="3" xr3:uid="{8C0FDEEA-51B2-409A-B9CA-F54F7CAFA2AC}" name="Vin,max@vin (V)">
      <calculatedColumnFormula>DB_ADC[[#This Row],[Vref,adc (V)]]+0.3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mailto:&#916;V@Imax%20(V)" TargetMode="External"/><Relationship Id="rId1" Type="http://schemas.openxmlformats.org/officeDocument/2006/relationships/hyperlink" Target="mailto:&#916;V@Imax%20(V)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109EF-BD1A-4741-8B63-551FCFC0A2D2}">
  <sheetPr>
    <tabColor rgb="FFFFFF00"/>
  </sheetPr>
  <dimension ref="A1:T40"/>
  <sheetViews>
    <sheetView zoomScale="85" zoomScaleNormal="85" workbookViewId="0">
      <selection activeCell="M11" sqref="M11"/>
    </sheetView>
  </sheetViews>
  <sheetFormatPr defaultColWidth="10.90625" defaultRowHeight="14.5" x14ac:dyDescent="0.35"/>
  <cols>
    <col min="1" max="1" width="25.453125" customWidth="1"/>
    <col min="2" max="2" width="5.81640625" customWidth="1"/>
    <col min="3" max="3" width="3.08984375" customWidth="1"/>
    <col min="4" max="4" width="31.7265625" customWidth="1"/>
    <col min="5" max="5" width="11.90625" customWidth="1"/>
    <col min="6" max="6" width="3.08984375" customWidth="1"/>
    <col min="7" max="7" width="20.453125" bestFit="1" customWidth="1"/>
    <col min="8" max="8" width="7.90625" customWidth="1"/>
    <col min="9" max="9" width="2.81640625" customWidth="1"/>
    <col min="10" max="10" width="20.1796875" bestFit="1" customWidth="1"/>
    <col min="11" max="11" width="7.08984375" customWidth="1"/>
    <col min="12" max="12" width="2.7265625" customWidth="1"/>
    <col min="13" max="13" width="20.90625" bestFit="1" customWidth="1"/>
    <col min="14" max="14" width="14.08984375" customWidth="1"/>
    <col min="15" max="15" width="13.81640625" customWidth="1"/>
    <col min="16" max="16" width="29.08984375" customWidth="1"/>
    <col min="17" max="17" width="10.6328125" customWidth="1"/>
  </cols>
  <sheetData>
    <row r="1" spans="1:20" x14ac:dyDescent="0.35">
      <c r="A1" s="74" t="s">
        <v>117</v>
      </c>
      <c r="B1" s="74"/>
      <c r="D1" s="74" t="s">
        <v>102</v>
      </c>
      <c r="E1" s="74"/>
      <c r="G1" s="74" t="s">
        <v>158</v>
      </c>
      <c r="H1" s="74"/>
      <c r="I1" s="90"/>
      <c r="J1" s="74" t="s">
        <v>253</v>
      </c>
      <c r="K1" s="74"/>
      <c r="M1" s="74" t="s">
        <v>289</v>
      </c>
      <c r="N1" s="74"/>
      <c r="P1" s="78" t="s">
        <v>150</v>
      </c>
      <c r="Q1" s="79"/>
      <c r="S1" s="78" t="s">
        <v>147</v>
      </c>
      <c r="T1" s="79"/>
    </row>
    <row r="2" spans="1:20" x14ac:dyDescent="0.35">
      <c r="A2" s="75" t="s">
        <v>225</v>
      </c>
      <c r="B2" s="75"/>
      <c r="C2" s="31"/>
      <c r="D2" s="75" t="s">
        <v>226</v>
      </c>
      <c r="E2" s="75"/>
      <c r="G2" s="80" t="s">
        <v>228</v>
      </c>
      <c r="H2" s="81"/>
      <c r="I2" s="103"/>
      <c r="J2" s="75" t="s">
        <v>131</v>
      </c>
      <c r="K2" s="75"/>
      <c r="M2" s="75" t="s">
        <v>131</v>
      </c>
      <c r="N2" s="75"/>
      <c r="P2" s="76" t="s">
        <v>113</v>
      </c>
      <c r="Q2" s="77"/>
      <c r="S2" s="76" t="s">
        <v>113</v>
      </c>
      <c r="T2" s="77"/>
    </row>
    <row r="3" spans="1:20" x14ac:dyDescent="0.35">
      <c r="A3" s="73" t="s">
        <v>118</v>
      </c>
      <c r="B3" s="73"/>
      <c r="D3" s="73" t="s">
        <v>227</v>
      </c>
      <c r="E3" s="73"/>
      <c r="G3" s="75" t="s">
        <v>131</v>
      </c>
      <c r="H3" s="75"/>
      <c r="I3" s="90"/>
      <c r="J3" s="120" t="s">
        <v>274</v>
      </c>
      <c r="K3" s="121">
        <v>850</v>
      </c>
      <c r="M3" s="120" t="s">
        <v>299</v>
      </c>
      <c r="N3" s="121" t="s">
        <v>313</v>
      </c>
      <c r="P3" s="80" t="s">
        <v>132</v>
      </c>
      <c r="Q3" s="81"/>
      <c r="S3" s="80" t="s">
        <v>132</v>
      </c>
      <c r="T3" s="81"/>
    </row>
    <row r="4" spans="1:20" x14ac:dyDescent="0.35">
      <c r="A4" s="36" t="str">
        <f>DB_limits[[#Headers],[Frame size (")]]</f>
        <v>Frame size (")</v>
      </c>
      <c r="B4" s="2">
        <f>_xlfn.XLOOKUP($A$3, DB_limits[Name], DB_limits[Frame size (")])</f>
        <v>6</v>
      </c>
      <c r="D4" s="36" t="str">
        <f>DB_Mostfet[[#Headers],[Vds (V)]]</f>
        <v>Vds (V)</v>
      </c>
      <c r="E4" s="2">
        <f>_xlfn.XLOOKUP(D3, DB_Mostfet[Part], DB_Mostfet[Vds (V)])</f>
        <v>60</v>
      </c>
      <c r="G4" s="40" t="s">
        <v>97</v>
      </c>
      <c r="H4" s="2">
        <v>10</v>
      </c>
      <c r="I4" s="90"/>
      <c r="M4" s="36" t="str">
        <f>DB_R[[#Headers],[Prated@70°C (W)]]</f>
        <v>Prated@70°C (W)</v>
      </c>
      <c r="N4" s="2">
        <f>_xlfn.XLOOKUP(N3, DB_R[Description], DB_R[Prated@70°C (W)])</f>
        <v>0.25</v>
      </c>
      <c r="P4" s="43" t="str">
        <f>DB_ADC[[#Headers],[Vref,adc (V)]]</f>
        <v>Vref,adc (V)</v>
      </c>
      <c r="Q4" s="2">
        <f>_xlfn.XLOOKUP($S$3, DB_ADC[Name], DB_ADC[Vref,adc (V)])</f>
        <v>3.3</v>
      </c>
      <c r="S4" s="43" t="str">
        <f>DB_ADC[[#Headers],[Vref,adc (V)]]</f>
        <v>Vref,adc (V)</v>
      </c>
      <c r="T4" s="2">
        <f>_xlfn.XLOOKUP($S$3, DB_ADC[Name], DB_ADC[Vref,adc (V)])</f>
        <v>3.3</v>
      </c>
    </row>
    <row r="5" spans="1:20" x14ac:dyDescent="0.35">
      <c r="A5" s="36" t="str">
        <f>DB_limits[[#Headers],[Dmax (%)]]</f>
        <v>Dmax (%)</v>
      </c>
      <c r="B5" s="2">
        <f>_xlfn.XLOOKUP($A$3, DB_limits[Name], DB_limits[Dmax (%)])</f>
        <v>90</v>
      </c>
      <c r="D5" s="36" t="str">
        <f>DB_Mostfet[[#Headers],[Qg,typ @ 10V (nC)]]</f>
        <v>Qg,typ @ 10V (nC)</v>
      </c>
      <c r="E5" s="69">
        <f>_xlfn.XLOOKUP(D3, DB_Mostfet[Part], DB_Mostfet[Qg,typ @ 10V (nC)])</f>
        <v>41</v>
      </c>
      <c r="I5" s="90"/>
      <c r="J5" s="78" t="s">
        <v>150</v>
      </c>
      <c r="K5" s="79"/>
      <c r="M5" s="120" t="s">
        <v>323</v>
      </c>
      <c r="N5" s="121" t="s">
        <v>314</v>
      </c>
      <c r="P5" s="43" t="str">
        <f>DB_ADC[[#Headers],[Fadc,clock(MHz)]]</f>
        <v>Fadc,clock(MHz)</v>
      </c>
      <c r="Q5" s="2">
        <f>_xlfn.XLOOKUP($S$3, DB_ADC[Name], DB_ADC[Fadc,clock(MHz)])</f>
        <v>60</v>
      </c>
      <c r="S5" s="43" t="str">
        <f>DB_ADC[[#Headers],[Fadc,clock(MHz)]]</f>
        <v>Fadc,clock(MHz)</v>
      </c>
      <c r="T5" s="2">
        <f>_xlfn.XLOOKUP($S$3, DB_ADC[Name], DB_ADC[Fadc,clock(MHz)])</f>
        <v>60</v>
      </c>
    </row>
    <row r="6" spans="1:20" x14ac:dyDescent="0.35">
      <c r="A6" s="36" t="str">
        <f>DB_limits[[#Headers],[Fmax (kHz)]]</f>
        <v>Fmax (kHz)</v>
      </c>
      <c r="B6" s="2">
        <f>_xlfn.XLOOKUP(A3,DB_limits[Name],DB_limits[Fmax (kHz)])</f>
        <v>64</v>
      </c>
      <c r="D6" s="36" t="str">
        <f>DB_Mostfet[[#Headers],[Qg,typ,sync @ 10V (nC)]] &amp;  " (not used)"</f>
        <v>Qg,typ,sync @ 10V (nC) (not used)</v>
      </c>
      <c r="E6" s="2" t="str">
        <f>_xlfn.XLOOKUP(D3, DB_Mostfet[Part], DB_Mostfet[Qg,typ,sync @ 10V (nC)])</f>
        <v>X</v>
      </c>
      <c r="G6" s="74" t="s">
        <v>252</v>
      </c>
      <c r="H6" s="74"/>
      <c r="I6" s="90"/>
      <c r="J6" s="76" t="s">
        <v>113</v>
      </c>
      <c r="K6" s="77"/>
      <c r="M6" s="36" t="str">
        <f>M4</f>
        <v>Prated@70°C (W)</v>
      </c>
      <c r="N6" s="2">
        <f>_xlfn.XLOOKUP(N3, DB_R[Description], DB_R[Prated@70°C (W)])</f>
        <v>0.25</v>
      </c>
      <c r="P6" s="36" t="str">
        <f>DB_ADC[[#Headers],[Vmax (V)]]</f>
        <v>Vmax (V)</v>
      </c>
      <c r="Q6" s="2">
        <f>_xlfn.XLOOKUP($S$3, DB_ADC[Name], DB_ADC[Vmax (V)])</f>
        <v>3.5999999999999996</v>
      </c>
      <c r="S6" s="36" t="str">
        <f>DB_ADC[[#Headers],[Vmax (V)]]</f>
        <v>Vmax (V)</v>
      </c>
      <c r="T6" s="2">
        <f>_xlfn.XLOOKUP($S$3, DB_ADC[Name], DB_ADC[Vmax (V)])</f>
        <v>3.5999999999999996</v>
      </c>
    </row>
    <row r="7" spans="1:20" x14ac:dyDescent="0.35">
      <c r="A7" s="36" t="str">
        <f>DB_limits[[#Headers],[Vbat,min (V)]]</f>
        <v>Vbat,min (V)</v>
      </c>
      <c r="B7" s="2">
        <f>_xlfn.XLOOKUP($A$3, DB_limits[Name], DB_limits[Vbat,min (V)])</f>
        <v>14</v>
      </c>
      <c r="D7" s="36" t="str">
        <f>DB_Mostfet[[#Headers],[Rds,on@10V typ(mΩ)]] &amp;  " (not used)"</f>
        <v>Rds,on@10V typ(mΩ) (not used)</v>
      </c>
      <c r="E7" s="2">
        <f>_xlfn.XLOOKUP(D3, DB_Mostfet[Part], DB_Mostfet[Rds,on@10V typ(mΩ)])</f>
        <v>1.8</v>
      </c>
      <c r="G7" s="80" t="s">
        <v>231</v>
      </c>
      <c r="H7" s="81"/>
      <c r="I7" s="90"/>
      <c r="J7" s="80" t="s">
        <v>132</v>
      </c>
      <c r="K7" s="81"/>
      <c r="P7" s="36" t="str">
        <f>DB_ADC[[#Headers],[Csamp (pF)]]</f>
        <v>Csamp (pF)</v>
      </c>
      <c r="Q7" s="2">
        <f>_xlfn.XLOOKUP($S$3, DB_ADC[Name], DB_ADC[Csamp (pF)])</f>
        <v>5</v>
      </c>
      <c r="S7" s="36" t="str">
        <f>DB_ADC[[#Headers],[Csamp (pF)]]</f>
        <v>Csamp (pF)</v>
      </c>
      <c r="T7" s="2">
        <f>_xlfn.XLOOKUP($S$3, DB_ADC[Name], DB_ADC[Csamp (pF)])</f>
        <v>5</v>
      </c>
    </row>
    <row r="8" spans="1:20" x14ac:dyDescent="0.35">
      <c r="A8" s="36" t="str">
        <f>DB_limits[[#Headers],[Vbat,typ (V)]]</f>
        <v>Vbat,typ (V)</v>
      </c>
      <c r="B8" s="2">
        <f>_xlfn.XLOOKUP($A$3, DB_limits[Name], DB_limits[Vbat,typ (V)])</f>
        <v>25.200000000000003</v>
      </c>
      <c r="D8" s="36" t="str">
        <f>DB_Mostfet[[#Headers],[Rds,on@10V max (mΩ)]]</f>
        <v>Rds,on@10V max (mΩ)</v>
      </c>
      <c r="E8" s="69">
        <f>_xlfn.XLOOKUP(D3, DB_Mostfet[Part], DB_Mostfet[Rds,on@10V max (mΩ)])</f>
        <v>2.2000000000000002</v>
      </c>
      <c r="I8" s="90"/>
      <c r="J8" s="36" t="str">
        <f>DB_ADC[[#Headers],[Vmax (V)]]</f>
        <v>Vmax (V)</v>
      </c>
      <c r="K8" s="2">
        <f>_xlfn.XLOOKUP($S$3, DB_ADC[Name], DB_ADC[Vmax (V)])</f>
        <v>3.5999999999999996</v>
      </c>
      <c r="M8" s="78" t="s">
        <v>286</v>
      </c>
      <c r="N8" s="79"/>
      <c r="P8" s="75" t="s">
        <v>131</v>
      </c>
      <c r="Q8" s="75"/>
      <c r="S8" s="76" t="s">
        <v>131</v>
      </c>
      <c r="T8" s="77"/>
    </row>
    <row r="9" spans="1:20" x14ac:dyDescent="0.35">
      <c r="A9" s="36" t="str">
        <f>DB_limits[[#Headers],[Vbat spike (V) @ run]]</f>
        <v>Vbat spike (V) @ run</v>
      </c>
      <c r="B9" s="2">
        <f>_xlfn.XLOOKUP($A$3, DB_limits[Name], DB_limits[Vbat spike (V) @ run])</f>
        <v>32</v>
      </c>
      <c r="D9" s="36" t="str">
        <f>DB_Mostfet[[#Headers],[Rise time (ns)]]</f>
        <v>Rise time (ns)</v>
      </c>
      <c r="E9" s="2">
        <f>_xlfn.XLOOKUP(D3, DB_Mostfet[Part], DB_Mostfet[Rise time (ns)])</f>
        <v>9</v>
      </c>
      <c r="G9" s="78" t="s">
        <v>243</v>
      </c>
      <c r="H9" s="79"/>
      <c r="I9" s="90"/>
      <c r="J9" s="76" t="s">
        <v>131</v>
      </c>
      <c r="K9" s="77"/>
      <c r="M9" s="44" t="s">
        <v>113</v>
      </c>
      <c r="N9" s="45"/>
      <c r="P9" s="40" t="s">
        <v>134</v>
      </c>
      <c r="Q9" s="2">
        <v>2.5</v>
      </c>
      <c r="S9" s="40" t="s">
        <v>134</v>
      </c>
      <c r="T9" s="2">
        <v>2.5</v>
      </c>
    </row>
    <row r="10" spans="1:20" x14ac:dyDescent="0.35">
      <c r="A10" s="36" t="str">
        <f>DB_limits[[#Headers],[Vbat spike (V) @ disarm]]</f>
        <v>Vbat spike (V) @ disarm</v>
      </c>
      <c r="B10" s="2">
        <f>_xlfn.XLOOKUP($A$3, DB_limits[Name], DB_limits[Vbat spike (V) @ disarm])</f>
        <v>45</v>
      </c>
      <c r="D10" s="36" t="str">
        <f>DB_Mostfet[[#Headers],[Fall time (ns)]]</f>
        <v>Fall time (ns)</v>
      </c>
      <c r="E10" s="2">
        <f>_xlfn.XLOOKUP(D3, DB_Mostfet[Part], DB_Mostfet[Fall time (ns)])</f>
        <v>3</v>
      </c>
      <c r="G10" s="76" t="s">
        <v>131</v>
      </c>
      <c r="H10" s="77"/>
      <c r="I10" s="90"/>
      <c r="J10" s="40" t="s">
        <v>127</v>
      </c>
      <c r="K10" s="2">
        <v>12</v>
      </c>
      <c r="M10" s="80" t="s">
        <v>132</v>
      </c>
      <c r="N10" s="81"/>
      <c r="P10" s="40" t="s">
        <v>127</v>
      </c>
      <c r="Q10" s="2">
        <v>12</v>
      </c>
      <c r="S10" s="40" t="s">
        <v>127</v>
      </c>
      <c r="T10" s="2">
        <v>12</v>
      </c>
    </row>
    <row r="11" spans="1:20" x14ac:dyDescent="0.35">
      <c r="A11" s="36" t="str">
        <f>DB_limits[[#Headers],[Vph spike (V) @ run]]</f>
        <v>Vph spike (V) @ run</v>
      </c>
      <c r="B11" s="2">
        <f>_xlfn.XLOOKUP($A$3, DB_limits[Name], DB_limits[Vph spike (V) @ run])</f>
        <v>35</v>
      </c>
      <c r="D11" s="36" t="str">
        <f>DB_Mostfet[[#Headers],[Id @ Tc&gt;70°C (A)]]</f>
        <v>Id @ Tc&gt;70°C (A)</v>
      </c>
      <c r="E11" s="2">
        <f>_xlfn.XLOOKUP(D3, DB_Mostfet[Part], DB_Mostfet[Id @ Tc&gt;70°C (A)])</f>
        <v>100</v>
      </c>
      <c r="G11" s="40" t="s">
        <v>255</v>
      </c>
      <c r="H11" s="2">
        <v>10</v>
      </c>
      <c r="I11" s="90"/>
      <c r="J11" s="40" t="s">
        <v>151</v>
      </c>
      <c r="K11" s="2">
        <v>64</v>
      </c>
      <c r="M11" s="36" t="str">
        <f>DB_ADC[[#Headers],[Csamp (pF)]]</f>
        <v>Csamp (pF)</v>
      </c>
      <c r="N11" s="2">
        <f>_xlfn.XLOOKUP($S$3, DB_ADC[Name], DB_ADC[Csamp (pF)])</f>
        <v>5</v>
      </c>
      <c r="P11" s="54" t="s">
        <v>151</v>
      </c>
      <c r="Q11" s="55">
        <v>64</v>
      </c>
      <c r="S11" s="76" t="s">
        <v>130</v>
      </c>
      <c r="T11" s="77"/>
    </row>
    <row r="12" spans="1:20" x14ac:dyDescent="0.35">
      <c r="A12" s="36" t="str">
        <f>DB_limits[[#Headers],[Vph spike (V) @ disarm]]</f>
        <v>Vph spike (V) @ disarm</v>
      </c>
      <c r="B12" s="2">
        <f>_xlfn.XLOOKUP($A$3, DB_limits[Name], DB_limits[Vph spike (V) @ disarm])</f>
        <v>28</v>
      </c>
      <c r="D12" s="36" t="str">
        <f>DB_Mostfet[[#Headers],[Id @ Ta&gt;70°C (A)]]</f>
        <v>Id @ Ta&gt;70°C (A)</v>
      </c>
      <c r="E12" s="69" t="str">
        <f>_xlfn.XLOOKUP(D3, DB_Mostfet[Part], DB_Mostfet[Id @ Ta&gt;70°C (A)])</f>
        <v>(est ~21A)</v>
      </c>
      <c r="G12" s="90"/>
      <c r="H12" s="104"/>
      <c r="I12" s="90"/>
      <c r="J12" s="76" t="s">
        <v>130</v>
      </c>
      <c r="K12" s="77"/>
      <c r="M12" s="36" t="str">
        <f>DB_ADC[[#Headers],[Tadc,clock (ns)]]</f>
        <v>Tadc,clock (ns)</v>
      </c>
      <c r="N12" s="7">
        <f>_xlfn.XLOOKUP($S$3, DB_ADC[Name], DB_ADC[Tadc,clock (ns)])</f>
        <v>16.666666666666668</v>
      </c>
      <c r="P12" s="76" t="s">
        <v>130</v>
      </c>
      <c r="Q12" s="77"/>
      <c r="S12" s="32" t="s">
        <v>145</v>
      </c>
      <c r="T12" s="7">
        <f>T9/T7*1000</f>
        <v>500</v>
      </c>
    </row>
    <row r="13" spans="1:20" x14ac:dyDescent="0.35">
      <c r="A13" s="36" t="str">
        <f>DB_limits[[#Headers],[Iph typ (A)]] &amp; " @ " &amp; _xlfn.XLOOKUP($A$3, DB_limits[Name], DB_limits[ToF Iph typ (%)]) &amp; "% ToF"</f>
        <v>Iph typ (A) @ 95% ToF</v>
      </c>
      <c r="B13" s="2">
        <f>_xlfn.XLOOKUP($A$3, DB_limits[Name], DB_limits[Iph typ (A)])</f>
        <v>12.5</v>
      </c>
      <c r="D13" s="36" t="str">
        <f>DB_Mostfet[[#Headers],[Size (mm)]]</f>
        <v>Size (mm)</v>
      </c>
      <c r="E13" s="2" t="str">
        <f>_xlfn.XLOOKUP(D3, DB_Mostfet[Part], DB_Mostfet[Size (mm)])</f>
        <v>5x6</v>
      </c>
      <c r="G13" s="78" t="s">
        <v>285</v>
      </c>
      <c r="H13" s="79"/>
      <c r="I13" s="90"/>
      <c r="J13" s="71" t="str">
        <f>CAL_Rshunt!G26</f>
        <v>Vshunt,amp,spike (V)</v>
      </c>
      <c r="K13" s="72">
        <f>CAL_Rshunt!H26</f>
        <v>2.72</v>
      </c>
      <c r="M13" s="44" t="s">
        <v>131</v>
      </c>
      <c r="N13" s="45"/>
      <c r="P13" s="32" t="s">
        <v>145</v>
      </c>
      <c r="Q13" s="7">
        <f>Q9/Q7*1000</f>
        <v>500</v>
      </c>
    </row>
    <row r="14" spans="1:20" x14ac:dyDescent="0.35">
      <c r="A14" s="36" t="str">
        <f>DB_limits[[#Headers],[Iph max (A@Xs)]] &amp; " @ " &amp; _xlfn.XLOOKUP($A$3, DB_limits[Name], DB_limits[ToF Iph max (%)]) &amp; "% ToF"</f>
        <v>Iph max (A@Xs) @ 4.9% ToF</v>
      </c>
      <c r="B14" s="2">
        <f>_xlfn.XLOOKUP($A$3, DB_limits[Name], DB_limits[Iph max (A@Xs)])</f>
        <v>20</v>
      </c>
      <c r="D14" s="36" t="str">
        <f>DB_Mostfet[[#Headers],[JLCPBC stock]]</f>
        <v>JLCPBC stock</v>
      </c>
      <c r="E14" s="2" t="str">
        <f>_xlfn.XLOOKUP(D3, DB_Mostfet[Part], DB_Mostfet[JLCPBC stock])</f>
        <v>Yes</v>
      </c>
      <c r="G14" s="76" t="s">
        <v>131</v>
      </c>
      <c r="H14" s="77"/>
      <c r="I14" s="90"/>
      <c r="J14" s="71" t="str">
        <f>CAL_Rshunt!J7</f>
        <v>ΔIlsb (mA/bit)</v>
      </c>
      <c r="K14" s="72">
        <f>CAL_Rshunt!K7</f>
        <v>14.813617754794226</v>
      </c>
      <c r="M14" s="40" t="s">
        <v>127</v>
      </c>
      <c r="N14" s="2">
        <v>8</v>
      </c>
      <c r="S14" s="78" t="s">
        <v>148</v>
      </c>
      <c r="T14" s="79"/>
    </row>
    <row r="15" spans="1:20" x14ac:dyDescent="0.35">
      <c r="A15" s="36" t="str">
        <f>DB_limits[[#Headers],[Iph spike (A@Xms)]]  &amp; " @ " &amp; _xlfn.XLOOKUP($A$3, DB_limits[Name], DB_limits[ToF Iph spike (%)]) &amp; "% ToF"</f>
        <v>Iph spike (A@Xms) @ 0.1% ToF</v>
      </c>
      <c r="B15" s="2">
        <f>_xlfn.XLOOKUP($A$3, DB_limits[Name], DB_limits[Iph spike (A@Xms)])</f>
        <v>50</v>
      </c>
      <c r="D15" s="76" t="s">
        <v>130</v>
      </c>
      <c r="E15" s="77"/>
      <c r="G15" s="40" t="s">
        <v>241</v>
      </c>
      <c r="H15" s="95">
        <v>40</v>
      </c>
      <c r="I15" s="90"/>
      <c r="J15" s="98" t="str">
        <f>CAL_Rshunt!J16</f>
        <v>Pshunt,mean (mW)</v>
      </c>
      <c r="K15" s="118">
        <f>CAL_Rshunt!K16</f>
        <v>84.934902750000006</v>
      </c>
      <c r="M15" s="40" t="s">
        <v>319</v>
      </c>
      <c r="N15" s="2">
        <v>2.5</v>
      </c>
      <c r="P15" s="46" t="s">
        <v>152</v>
      </c>
      <c r="Q15" s="47"/>
      <c r="S15" s="76" t="s">
        <v>131</v>
      </c>
      <c r="T15" s="77"/>
    </row>
    <row r="16" spans="1:20" x14ac:dyDescent="0.35">
      <c r="A16" s="36" t="str">
        <f>DB_limits[[#Headers],[Iph mean (A)]]</f>
        <v>Iph mean (A)</v>
      </c>
      <c r="B16" s="7">
        <f>_xlfn.XLOOKUP($A$3, DB_limits[Name], DB_limits[Iph mean (A)])</f>
        <v>12.905000000000001</v>
      </c>
      <c r="D16" s="18" t="s">
        <v>219</v>
      </c>
      <c r="E16" s="9">
        <f>(B9+B8)/2</f>
        <v>28.6</v>
      </c>
      <c r="G16" s="40" t="s">
        <v>270</v>
      </c>
      <c r="H16" s="7">
        <v>3</v>
      </c>
      <c r="I16" s="90"/>
      <c r="J16" s="71" t="str">
        <f>CAL_Rshunt!J24</f>
        <v>Pshunt,max (mW@Xs)</v>
      </c>
      <c r="K16" s="72">
        <f>CAL_Rshunt!K24</f>
        <v>204</v>
      </c>
      <c r="M16" t="s">
        <v>322</v>
      </c>
      <c r="N16">
        <v>12</v>
      </c>
      <c r="P16" s="76" t="s">
        <v>130</v>
      </c>
      <c r="Q16" s="77"/>
      <c r="S16" s="40" t="s">
        <v>129</v>
      </c>
      <c r="T16" s="2">
        <v>390</v>
      </c>
    </row>
    <row r="17" spans="1:20" x14ac:dyDescent="0.35">
      <c r="A17" s="76" t="s">
        <v>131</v>
      </c>
      <c r="B17" s="77"/>
      <c r="D17" s="18" t="s">
        <v>182</v>
      </c>
      <c r="E17" s="6">
        <f>B14^2*B5%*E8/1000</f>
        <v>0.79200000000000015</v>
      </c>
      <c r="G17" s="120" t="s">
        <v>159</v>
      </c>
      <c r="H17" s="121">
        <v>3</v>
      </c>
      <c r="I17" s="90"/>
      <c r="M17" s="44" t="s">
        <v>130</v>
      </c>
      <c r="N17" s="45"/>
      <c r="P17" s="32" t="s">
        <v>153</v>
      </c>
      <c r="Q17" s="9">
        <f>CAL_ISENSE_ARCH!B9</f>
        <v>500</v>
      </c>
      <c r="S17" s="40" t="str">
        <f>CAL_Vsense[[#Headers],[Rtop (Ω)]]</f>
        <v>Rtop (Ω)</v>
      </c>
      <c r="T17" s="2">
        <v>5600</v>
      </c>
    </row>
    <row r="18" spans="1:20" x14ac:dyDescent="0.35">
      <c r="A18" s="40" t="s">
        <v>149</v>
      </c>
      <c r="B18" s="2">
        <v>480</v>
      </c>
      <c r="D18" s="18" t="s">
        <v>187</v>
      </c>
      <c r="E18" s="6">
        <f>E16*B14*(E10+E9)*B6*10^-6/2</f>
        <v>0.21964799999999998</v>
      </c>
      <c r="G18" s="76" t="s">
        <v>130</v>
      </c>
      <c r="H18" s="77"/>
      <c r="I18" s="90"/>
      <c r="M18" s="98" t="str">
        <f>'CAL_Rv1-2'!G5</f>
        <v>Rv1,th (Ω)</v>
      </c>
      <c r="N18" s="117">
        <f>'CAL_Rv1-2'!H5</f>
        <v>17290.909090909092</v>
      </c>
      <c r="P18" s="32" t="s">
        <v>169</v>
      </c>
      <c r="Q18" s="6">
        <f>CAL_ISENSE_ARCH!F9</f>
        <v>0.4</v>
      </c>
      <c r="S18" s="40" t="s">
        <v>137</v>
      </c>
      <c r="T18" s="2">
        <v>47</v>
      </c>
    </row>
    <row r="19" spans="1:20" x14ac:dyDescent="0.35">
      <c r="A19" s="40" t="s">
        <v>251</v>
      </c>
      <c r="B19" s="2">
        <v>300</v>
      </c>
      <c r="D19" s="18" t="s">
        <v>183</v>
      </c>
      <c r="E19" s="6">
        <f>E18+E17</f>
        <v>1.0116480000000001</v>
      </c>
      <c r="G19" s="71" t="str">
        <f>CAL_Cboot!D14</f>
        <v>Vboot,min (V)</v>
      </c>
      <c r="H19" s="115">
        <f>CAL_Cboot!E14</f>
        <v>6.74</v>
      </c>
      <c r="I19" s="90"/>
      <c r="M19" s="98" t="str">
        <f>'CAL_Rv1-2'!G6</f>
        <v>Rv1 (Ω)</v>
      </c>
      <c r="N19" s="117">
        <f>'CAL_Rv1-2'!H6</f>
        <v>18000</v>
      </c>
      <c r="P19" s="32" t="s">
        <v>169</v>
      </c>
      <c r="Q19" s="6">
        <f>CAL_ISENSE_ARCH!E9</f>
        <v>0.64</v>
      </c>
      <c r="S19" s="40" t="s">
        <v>140</v>
      </c>
      <c r="T19" s="2">
        <v>100</v>
      </c>
    </row>
    <row r="20" spans="1:20" x14ac:dyDescent="0.35">
      <c r="D20" s="18" t="s">
        <v>184</v>
      </c>
      <c r="E20" s="6">
        <f>B16^2*B5%*E8/1000</f>
        <v>0.32974726950000011</v>
      </c>
      <c r="G20" s="71" t="str">
        <f>CAL_Cboot!D21</f>
        <v>Vboot,max (V)</v>
      </c>
      <c r="H20" s="115">
        <f>CAL_Cboot!E21</f>
        <v>9.76</v>
      </c>
      <c r="I20" s="90"/>
      <c r="M20" s="98" t="str">
        <f>'CAL_Rv1-2'!G24</f>
        <v>Vdivider,typ (V)</v>
      </c>
      <c r="N20" s="124">
        <f>'CAL_Rv1-2'!H24</f>
        <v>2.2909090909090915</v>
      </c>
      <c r="P20" s="32" t="s">
        <v>168</v>
      </c>
      <c r="Q20" s="6">
        <f>CAL_ISENSE_ARCH!D9</f>
        <v>1.6</v>
      </c>
      <c r="S20" s="40" t="s">
        <v>141</v>
      </c>
      <c r="T20" s="2">
        <v>100</v>
      </c>
    </row>
    <row r="21" spans="1:20" x14ac:dyDescent="0.35">
      <c r="D21" s="18" t="s">
        <v>185</v>
      </c>
      <c r="E21" s="6">
        <f>E16*B16*(E10+E9)*B6*10^-6/2</f>
        <v>0.141727872</v>
      </c>
      <c r="G21" s="18" t="str">
        <f>CAL_Cboot!J13</f>
        <v>Cboot,th (nF)</v>
      </c>
      <c r="H21" s="9">
        <f>CAL_Cboot!K13</f>
        <v>127.66967024539878</v>
      </c>
      <c r="I21" s="90"/>
      <c r="M21" s="98" t="str">
        <f>'CAL_Rv1-2'!J5</f>
        <v>Idivider,typ (mA)</v>
      </c>
      <c r="N21" s="124">
        <f>'CAL_Rv1-2'!K5</f>
        <v>0.11570247933884301</v>
      </c>
      <c r="P21" s="32" t="s">
        <v>154</v>
      </c>
      <c r="Q21" s="9">
        <f>CAL_ISENSE_ARCH!G9</f>
        <v>25.177001953124996</v>
      </c>
      <c r="S21" s="40" t="s">
        <v>142</v>
      </c>
      <c r="T21" s="2">
        <v>10</v>
      </c>
    </row>
    <row r="22" spans="1:20" x14ac:dyDescent="0.35">
      <c r="D22" s="18" t="s">
        <v>186</v>
      </c>
      <c r="E22" s="6">
        <f>E21+E20</f>
        <v>0.47147514150000014</v>
      </c>
      <c r="G22" s="18" t="str">
        <f>CAL_Cboot!J14</f>
        <v>Cboot (nF)</v>
      </c>
      <c r="H22" s="9">
        <f>CAL_Cboot!K14</f>
        <v>150</v>
      </c>
      <c r="I22" s="90"/>
      <c r="M22" s="98" t="str">
        <f>'CAL_Rv1-2'!M12</f>
        <v>Iin,adc,typ (mA)</v>
      </c>
      <c r="N22" s="118">
        <f>'CAL_Rv1-2'!N12</f>
        <v>1.3723247835321031</v>
      </c>
      <c r="P22" s="32" t="s">
        <v>167</v>
      </c>
      <c r="Q22" s="6">
        <f>CAL_ISENSE_ARCH!C9</f>
        <v>0.18</v>
      </c>
      <c r="S22" s="76" t="s">
        <v>130</v>
      </c>
      <c r="T22" s="77"/>
    </row>
    <row r="23" spans="1:20" x14ac:dyDescent="0.35">
      <c r="G23" s="18" t="str">
        <f>CAL_Cboot!M6</f>
        <v>t_recharge (µs)</v>
      </c>
      <c r="H23" s="7">
        <f>CAL_Cboot!N6</f>
        <v>1.2624999999999995</v>
      </c>
      <c r="I23" s="90"/>
      <c r="M23" s="71" t="str">
        <f>'CAL_Rv1-2'!J25</f>
        <v>ΔVlsb,fullscale (mV/bit)</v>
      </c>
      <c r="N23" s="115">
        <f>'CAL_Rv1-2'!K25</f>
        <v>142.35294117647058</v>
      </c>
      <c r="P23" s="31" t="s">
        <v>180</v>
      </c>
      <c r="S23" s="32" t="str">
        <f>CAL_Vsense[[#Headers],[Rth (Ω)]]</f>
        <v>Rth (Ω)</v>
      </c>
      <c r="T23" s="9" cm="1">
        <f t="array" ref="T23">CAL_Vsense[Rth (Ω)]</f>
        <v>411.6076794657763</v>
      </c>
    </row>
    <row r="24" spans="1:20" x14ac:dyDescent="0.35">
      <c r="G24" s="71" t="str">
        <f>CAL_Cboot!M25</f>
        <v>Vboot,max@Dmax (V)</v>
      </c>
      <c r="H24" s="115">
        <f>CAL_Cboot!N25</f>
        <v>9.6365317933866681</v>
      </c>
      <c r="I24" s="90"/>
      <c r="M24" s="71" t="str">
        <f>'CAL_Rv1-2'!G14</f>
        <v>Prv1,rv2 (mW)</v>
      </c>
      <c r="N24" s="116">
        <f>'CAL_Rv1-2'!H14</f>
        <v>61.868686868686872</v>
      </c>
      <c r="S24" s="32" t="str">
        <f>CAL_Vsense[[#Headers],[Iadc (mA)]]</f>
        <v>Iadc (mA)</v>
      </c>
      <c r="T24" s="9" cm="1">
        <f t="array" ref="T24">CAL_Vsense[Iadc (mA)]</f>
        <v>8.0173431270355664</v>
      </c>
    </row>
    <row r="25" spans="1:20" x14ac:dyDescent="0.35">
      <c r="I25" s="90"/>
      <c r="S25" s="32" t="s">
        <v>144</v>
      </c>
      <c r="T25" s="9">
        <f>T21*T20*T6/1000</f>
        <v>3.5999999999999996</v>
      </c>
    </row>
    <row r="26" spans="1:20" x14ac:dyDescent="0.35">
      <c r="G26" s="78" t="s">
        <v>257</v>
      </c>
      <c r="H26" s="79"/>
      <c r="I26" s="90"/>
      <c r="M26" s="46" t="s">
        <v>303</v>
      </c>
      <c r="N26" s="47"/>
      <c r="S26" s="32" t="s">
        <v>146</v>
      </c>
      <c r="T26" s="9">
        <f>(Radc+T23)*T19*T21*10^-3</f>
        <v>458.6076794657763</v>
      </c>
    </row>
    <row r="27" spans="1:20" x14ac:dyDescent="0.35">
      <c r="G27" s="76" t="s">
        <v>131</v>
      </c>
      <c r="H27" s="77"/>
      <c r="I27" s="90"/>
      <c r="M27" s="37" t="s">
        <v>131</v>
      </c>
      <c r="N27" s="37"/>
      <c r="S27" s="32" t="s">
        <v>135</v>
      </c>
      <c r="T27" s="7">
        <f>B12/2^T10*1000</f>
        <v>6.8359375</v>
      </c>
    </row>
    <row r="28" spans="1:20" x14ac:dyDescent="0.35">
      <c r="G28" s="120" t="s">
        <v>155</v>
      </c>
      <c r="H28" s="121">
        <v>10</v>
      </c>
      <c r="I28" s="90"/>
      <c r="M28" s="120" t="s">
        <v>302</v>
      </c>
      <c r="N28" s="121">
        <v>100</v>
      </c>
      <c r="S28" s="32" t="s">
        <v>167</v>
      </c>
      <c r="T28" s="6">
        <f>B8^2/(T17+T16)</f>
        <v>0.10601669449081806</v>
      </c>
    </row>
    <row r="29" spans="1:20" x14ac:dyDescent="0.35">
      <c r="G29" s="120" t="s">
        <v>162</v>
      </c>
      <c r="H29" s="121">
        <v>5.0999999999999996</v>
      </c>
      <c r="I29" s="90"/>
      <c r="M29" s="36" t="s">
        <v>326</v>
      </c>
      <c r="N29" s="2"/>
    </row>
    <row r="30" spans="1:20" x14ac:dyDescent="0.35">
      <c r="G30" s="40" t="s">
        <v>271</v>
      </c>
      <c r="H30" s="7">
        <v>3</v>
      </c>
      <c r="I30" s="90"/>
    </row>
    <row r="31" spans="1:20" x14ac:dyDescent="0.35">
      <c r="G31" s="76" t="s">
        <v>130</v>
      </c>
      <c r="H31" s="77"/>
      <c r="I31" s="90"/>
    </row>
    <row r="32" spans="1:20" x14ac:dyDescent="0.35">
      <c r="G32" s="18" t="str">
        <f>CAL_Rg!G5</f>
        <v>Imax,on (A)</v>
      </c>
      <c r="H32" s="7">
        <f>CAL_Rg!H5</f>
        <v>1.6</v>
      </c>
      <c r="I32" s="90"/>
    </row>
    <row r="33" spans="7:9" x14ac:dyDescent="0.35">
      <c r="G33" s="18" t="str">
        <f>CAL_Rg!G12</f>
        <v>Imax,off (A)</v>
      </c>
      <c r="H33" s="7">
        <f>CAL_Rg!H12</f>
        <v>2.566743588627161</v>
      </c>
      <c r="I33" s="90"/>
    </row>
    <row r="34" spans="7:9" x14ac:dyDescent="0.35">
      <c r="G34" s="18" t="str">
        <f>CAL_Rg!G27</f>
        <v>Pg,loss (mW)</v>
      </c>
      <c r="H34" s="72">
        <f>CAL_Rg!H27</f>
        <v>76.830719999999985</v>
      </c>
      <c r="I34" s="90"/>
    </row>
    <row r="35" spans="7:9" x14ac:dyDescent="0.35">
      <c r="G35" s="18" t="str">
        <f>CAL_Rg!O6</f>
        <v>Prg,mean (mW)</v>
      </c>
      <c r="H35" s="7">
        <f>CAL_Rg!P6</f>
        <v>64.495133947761033</v>
      </c>
      <c r="I35" s="90"/>
    </row>
    <row r="36" spans="7:9" x14ac:dyDescent="0.35">
      <c r="G36" s="18" t="str">
        <f>CAL_Rg!O14</f>
        <v>Prgd,mean (mW)</v>
      </c>
      <c r="H36" s="7">
        <f>CAL_Rg!P14</f>
        <v>12.335586052238952</v>
      </c>
      <c r="I36" s="90"/>
    </row>
    <row r="37" spans="7:9" x14ac:dyDescent="0.35">
      <c r="I37" s="90"/>
    </row>
    <row r="38" spans="7:9" x14ac:dyDescent="0.35">
      <c r="I38" s="90"/>
    </row>
    <row r="39" spans="7:9" x14ac:dyDescent="0.35">
      <c r="I39" s="90"/>
    </row>
    <row r="40" spans="7:9" x14ac:dyDescent="0.35">
      <c r="I40" s="90"/>
    </row>
  </sheetData>
  <mergeCells count="46">
    <mergeCell ref="D15:E15"/>
    <mergeCell ref="G7:H7"/>
    <mergeCell ref="G31:H31"/>
    <mergeCell ref="G27:H27"/>
    <mergeCell ref="G26:H26"/>
    <mergeCell ref="G18:H18"/>
    <mergeCell ref="G1:H1"/>
    <mergeCell ref="G2:H2"/>
    <mergeCell ref="G6:H6"/>
    <mergeCell ref="G3:H3"/>
    <mergeCell ref="M10:N10"/>
    <mergeCell ref="G9:H9"/>
    <mergeCell ref="G10:H10"/>
    <mergeCell ref="G13:H13"/>
    <mergeCell ref="G14:H14"/>
    <mergeCell ref="J5:K5"/>
    <mergeCell ref="A17:B17"/>
    <mergeCell ref="J12:K12"/>
    <mergeCell ref="P16:Q16"/>
    <mergeCell ref="S14:T14"/>
    <mergeCell ref="S15:T15"/>
    <mergeCell ref="S22:T22"/>
    <mergeCell ref="M8:N8"/>
    <mergeCell ref="J1:K1"/>
    <mergeCell ref="S2:T2"/>
    <mergeCell ref="S11:T11"/>
    <mergeCell ref="S8:T8"/>
    <mergeCell ref="J2:K2"/>
    <mergeCell ref="J6:K6"/>
    <mergeCell ref="J7:K7"/>
    <mergeCell ref="J9:K9"/>
    <mergeCell ref="M1:N1"/>
    <mergeCell ref="M2:N2"/>
    <mergeCell ref="P12:Q12"/>
    <mergeCell ref="P1:Q1"/>
    <mergeCell ref="S3:T3"/>
    <mergeCell ref="P2:Q2"/>
    <mergeCell ref="P3:Q3"/>
    <mergeCell ref="P8:Q8"/>
    <mergeCell ref="S1:T1"/>
    <mergeCell ref="D3:E3"/>
    <mergeCell ref="D1:E1"/>
    <mergeCell ref="D2:E2"/>
    <mergeCell ref="A2:B2"/>
    <mergeCell ref="A3:B3"/>
    <mergeCell ref="A1:B1"/>
  </mergeCells>
  <hyperlinks>
    <hyperlink ref="P19" r:id="rId1" xr:uid="{6EA051B8-41A2-4DC1-B63C-EE1F61D6E0BA}"/>
    <hyperlink ref="P18" r:id="rId2" xr:uid="{3ECCE63C-58DF-4124-8B33-49D522BF629F}"/>
  </hyperlinks>
  <pageMargins left="0.7" right="0.7" top="0.75" bottom="0.75" header="0.3" footer="0.3"/>
  <drawing r:id="rId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4260428-6412-4A56-BC06-446A0E5892BB}">
          <x14:formula1>
            <xm:f>DB_FETS!$A$2:$A$45</xm:f>
          </x14:formula1>
          <xm:sqref>D3:E3</xm:sqref>
        </x14:dataValidation>
        <x14:dataValidation type="list" allowBlank="1" showInputMessage="1" showErrorMessage="1" xr:uid="{0D718FDB-9418-42E1-88F8-AF60C4ADD467}">
          <x14:formula1>
            <xm:f>DB_ADC!$A$2:$A$21</xm:f>
          </x14:formula1>
          <xm:sqref>P3:Q3 S3 J7:K7 M10</xm:sqref>
        </x14:dataValidation>
        <x14:dataValidation type="list" allowBlank="1" showInputMessage="1" showErrorMessage="1" xr:uid="{85D05625-9851-4F66-A584-AE65C6830A4B}">
          <x14:formula1>
            <xm:f>DB_GD!$A$2:$A$17</xm:f>
          </x14:formula1>
          <xm:sqref>I2 G2</xm:sqref>
        </x14:dataValidation>
        <x14:dataValidation type="list" allowBlank="1" showInputMessage="1" showErrorMessage="1" xr:uid="{224D5D49-8AE1-4B08-BB10-587BDE37AF2C}">
          <x14:formula1>
            <xm:f>DB_LIMITS!$A$2:$A$40</xm:f>
          </x14:formula1>
          <xm:sqref>A3:B3</xm:sqref>
        </x14:dataValidation>
        <x14:dataValidation type="list" allowBlank="1" showInputMessage="1" showErrorMessage="1" xr:uid="{58C481F0-7774-432B-A3AC-81D2FD5ED0A8}">
          <x14:formula1>
            <xm:f>DB_D!$A$2:$A$21</xm:f>
          </x14:formula1>
          <xm:sqref>G7</xm:sqref>
        </x14:dataValidation>
        <x14:dataValidation type="list" allowBlank="1" showInputMessage="1" showErrorMessage="1" xr:uid="{52ACB1B9-CEB3-42BB-8629-004AD536A65C}">
          <x14:formula1>
            <xm:f>DB_R!$A:$A</xm:f>
          </x14:formula1>
          <xm:sqref>N5 N3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783B6-023E-4EFB-95F4-1DEBBF29323C}">
  <sheetPr>
    <tabColor rgb="FF00B0F0"/>
  </sheetPr>
  <dimension ref="B1:N39"/>
  <sheetViews>
    <sheetView tabSelected="1" zoomScaleNormal="100" workbookViewId="0">
      <selection activeCell="Q30" sqref="Q30"/>
    </sheetView>
  </sheetViews>
  <sheetFormatPr defaultRowHeight="14.5" x14ac:dyDescent="0.35"/>
  <cols>
    <col min="1" max="1" width="2.6328125" style="130" customWidth="1"/>
    <col min="2" max="2" width="3.453125" style="130" customWidth="1"/>
    <col min="3" max="3" width="28.6328125" style="130" customWidth="1"/>
    <col min="4" max="4" width="20.36328125" style="130" customWidth="1"/>
    <col min="5" max="5" width="3.26953125" style="130" customWidth="1"/>
    <col min="6" max="6" width="5" style="130" customWidth="1"/>
    <col min="7" max="7" width="20.81640625" style="130" bestFit="1" customWidth="1"/>
    <col min="8" max="8" width="7.90625" style="130" customWidth="1"/>
    <col min="9" max="9" width="2.90625" style="130" customWidth="1"/>
    <col min="10" max="10" width="21.26953125" style="130" bestFit="1" customWidth="1"/>
    <col min="11" max="11" width="7.54296875" style="130" customWidth="1"/>
    <col min="12" max="12" width="2.81640625" style="130" customWidth="1"/>
    <col min="13" max="13" width="24.36328125" style="130" customWidth="1"/>
    <col min="14" max="14" width="16.7265625" style="130" customWidth="1"/>
    <col min="15" max="15" width="8.7265625" style="130"/>
    <col min="16" max="17" width="11.81640625" style="130" bestFit="1" customWidth="1"/>
    <col min="18" max="16384" width="8.7265625" style="130"/>
  </cols>
  <sheetData>
    <row r="1" spans="2:14" ht="15" thickBot="1" x14ac:dyDescent="0.4"/>
    <row r="2" spans="2:14" x14ac:dyDescent="0.35">
      <c r="B2" s="125"/>
      <c r="C2" s="125"/>
      <c r="D2" s="125"/>
      <c r="E2" s="125"/>
      <c r="G2" s="131" t="str">
        <f>C20</f>
        <v>Rv2 (Ω)</v>
      </c>
      <c r="H2" s="147">
        <f>D20</f>
        <v>1800</v>
      </c>
      <c r="J2" s="131" t="str">
        <f>G24</f>
        <v>Vdivider,typ (V)</v>
      </c>
      <c r="K2" s="140">
        <f>H24</f>
        <v>2.2909090909090915</v>
      </c>
      <c r="M2" s="131" t="str">
        <f>G6</f>
        <v>Rv1 (Ω)</v>
      </c>
      <c r="N2" s="132">
        <f>H6</f>
        <v>18000</v>
      </c>
    </row>
    <row r="3" spans="2:14" x14ac:dyDescent="0.35">
      <c r="B3" s="125"/>
      <c r="C3" s="96" t="s">
        <v>117</v>
      </c>
      <c r="D3" s="97"/>
      <c r="E3" s="126"/>
      <c r="G3" s="133" t="str">
        <f>C5</f>
        <v>Vph spike (V) @ run</v>
      </c>
      <c r="H3" s="109">
        <f>D5</f>
        <v>35</v>
      </c>
      <c r="J3" s="133" t="str">
        <f>G6</f>
        <v>Rv1 (Ω)</v>
      </c>
      <c r="K3" s="148">
        <f>H6</f>
        <v>18000</v>
      </c>
      <c r="M3" s="133" t="str">
        <f>C20</f>
        <v>Rv2 (Ω)</v>
      </c>
      <c r="N3" s="109">
        <f>D20</f>
        <v>1800</v>
      </c>
    </row>
    <row r="4" spans="2:14" ht="15" thickBot="1" x14ac:dyDescent="0.4">
      <c r="B4" s="125"/>
      <c r="C4" s="36" t="s">
        <v>103</v>
      </c>
      <c r="D4" s="2" t="str">
        <f>HMI!A3</f>
        <v>V1.0</v>
      </c>
      <c r="E4" s="127"/>
      <c r="G4" s="133" t="str">
        <f>C10</f>
        <v>Vref,adc (V)</v>
      </c>
      <c r="H4" s="109">
        <f>D10</f>
        <v>3.3</v>
      </c>
      <c r="J4" s="133" t="str">
        <f>C20</f>
        <v>Rv2 (Ω)</v>
      </c>
      <c r="K4" s="109">
        <f>D20</f>
        <v>1800</v>
      </c>
      <c r="M4" s="151" t="s">
        <v>310</v>
      </c>
      <c r="N4" s="152">
        <f>N2*N3/(N3+N2)</f>
        <v>1636.3636363636363</v>
      </c>
    </row>
    <row r="5" spans="2:14" ht="15" thickBot="1" x14ac:dyDescent="0.4">
      <c r="B5" s="125"/>
      <c r="C5" s="36" t="str">
        <f>HMI!A11</f>
        <v>Vph spike (V) @ run</v>
      </c>
      <c r="D5" s="2">
        <f>HMI!B11</f>
        <v>35</v>
      </c>
      <c r="E5" s="127"/>
      <c r="G5" s="136" t="s">
        <v>291</v>
      </c>
      <c r="H5" s="148">
        <f>H2*(H3/H4-1)</f>
        <v>17290.909090909092</v>
      </c>
      <c r="J5" s="142" t="s">
        <v>311</v>
      </c>
      <c r="K5" s="150">
        <f>K2/(K3+K4)*10^3</f>
        <v>0.11570247933884301</v>
      </c>
      <c r="M5" s="144"/>
      <c r="N5" s="145"/>
    </row>
    <row r="6" spans="2:14" ht="15" thickBot="1" x14ac:dyDescent="0.4">
      <c r="B6" s="125"/>
      <c r="C6" s="36" t="str">
        <f>HMI!A8</f>
        <v>Vbat,typ (V)</v>
      </c>
      <c r="D6" s="2">
        <f>HMI!B8</f>
        <v>25.200000000000003</v>
      </c>
      <c r="E6" s="127"/>
      <c r="G6" s="142" t="s">
        <v>288</v>
      </c>
      <c r="H6" s="149">
        <f>_xlfn.MINIFS(DB_R[R (Ω)],DB_R[R (Ω)],"&gt;="&amp;H5)</f>
        <v>18000</v>
      </c>
      <c r="J6" s="144"/>
      <c r="K6" s="145"/>
      <c r="M6" s="134"/>
      <c r="N6" s="135"/>
    </row>
    <row r="7" spans="2:14" ht="15" thickBot="1" x14ac:dyDescent="0.4">
      <c r="B7" s="125"/>
      <c r="C7" s="125"/>
      <c r="D7" s="125"/>
      <c r="E7" s="125"/>
      <c r="G7" s="144"/>
      <c r="H7" s="145"/>
      <c r="J7" s="134"/>
      <c r="K7" s="135"/>
      <c r="M7" s="138"/>
      <c r="N7" s="139"/>
    </row>
    <row r="8" spans="2:14" ht="15" thickBot="1" x14ac:dyDescent="0.4">
      <c r="B8" s="125"/>
      <c r="C8" s="96" t="s">
        <v>278</v>
      </c>
      <c r="D8" s="97"/>
      <c r="E8" s="126"/>
      <c r="G8" s="134"/>
      <c r="H8" s="135"/>
      <c r="J8" s="138"/>
      <c r="K8" s="139"/>
    </row>
    <row r="9" spans="2:14" ht="15" thickBot="1" x14ac:dyDescent="0.4">
      <c r="B9" s="125"/>
      <c r="C9" s="36" t="str">
        <f>DB_ADC[[#Headers],[Name]]</f>
        <v>Name</v>
      </c>
      <c r="D9" s="2" t="str">
        <f>HMI!M10</f>
        <v>STM32G4 internal</v>
      </c>
      <c r="E9" s="127"/>
      <c r="G9" s="138"/>
      <c r="H9" s="139"/>
      <c r="M9" s="131" t="str">
        <f>G24</f>
        <v>Vdivider,typ (V)</v>
      </c>
      <c r="N9" s="140">
        <f>H24</f>
        <v>2.2909090909090915</v>
      </c>
    </row>
    <row r="10" spans="2:14" ht="15" thickBot="1" x14ac:dyDescent="0.4">
      <c r="B10" s="125"/>
      <c r="C10" s="36" t="str">
        <f>DB_ADC[[#Headers],[Vref,adc (V)]]</f>
        <v>Vref,adc (V)</v>
      </c>
      <c r="D10" s="2">
        <f>_xlfn.XLOOKUP(D9,DB_ADC[Name],DB_ADC[Vref,adc (V)])</f>
        <v>3.3</v>
      </c>
      <c r="E10" s="127"/>
      <c r="J10" s="131" t="str">
        <f>G23</f>
        <v>Vdivider,spike (V)</v>
      </c>
      <c r="K10" s="140">
        <f>H23</f>
        <v>3.1818181818181817</v>
      </c>
      <c r="M10" s="133" t="str">
        <f>M4</f>
        <v>Rthvn (Ω)</v>
      </c>
      <c r="N10" s="148">
        <f>N4</f>
        <v>1636.3636363636363</v>
      </c>
    </row>
    <row r="11" spans="2:14" x14ac:dyDescent="0.35">
      <c r="B11" s="125"/>
      <c r="C11" s="36" t="str">
        <f>HMI!M14</f>
        <v>Resolution (bit)</v>
      </c>
      <c r="D11" s="2">
        <f>HMI!N14</f>
        <v>8</v>
      </c>
      <c r="E11" s="127"/>
      <c r="G11" s="131" t="str">
        <f>G6</f>
        <v>Rv1 (Ω)</v>
      </c>
      <c r="H11" s="132">
        <f>H6</f>
        <v>18000</v>
      </c>
      <c r="J11" s="133" t="str">
        <f>G24</f>
        <v>Vdivider,typ (V)</v>
      </c>
      <c r="K11" s="137">
        <f>H24</f>
        <v>2.2909090909090915</v>
      </c>
      <c r="M11" s="133" t="str">
        <f>C22</f>
        <v>Radc,ext (Ω)</v>
      </c>
      <c r="N11" s="109">
        <f>D22</f>
        <v>33</v>
      </c>
    </row>
    <row r="12" spans="2:14" ht="15" thickBot="1" x14ac:dyDescent="0.4">
      <c r="B12" s="125"/>
      <c r="C12" s="36" t="str">
        <f>HMI!M12</f>
        <v>Tadc,clock (ns)</v>
      </c>
      <c r="D12" s="7">
        <f>HMI!N12</f>
        <v>16.666666666666668</v>
      </c>
      <c r="E12" s="125"/>
      <c r="G12" s="133" t="str">
        <f>C20</f>
        <v>Rv2 (Ω)</v>
      </c>
      <c r="H12" s="109">
        <f>D20</f>
        <v>1800</v>
      </c>
      <c r="J12" s="133" t="str">
        <f>C22</f>
        <v>Radc,ext (Ω)</v>
      </c>
      <c r="K12" s="109">
        <f>D22</f>
        <v>33</v>
      </c>
      <c r="M12" s="142" t="s">
        <v>312</v>
      </c>
      <c r="N12" s="146">
        <f>N9/(N10+N11)*1000</f>
        <v>1.3723247835321031</v>
      </c>
    </row>
    <row r="13" spans="2:14" x14ac:dyDescent="0.35">
      <c r="B13" s="125"/>
      <c r="C13" s="36" t="str">
        <f>HMI!M15</f>
        <v>Nsamp (cycle)</v>
      </c>
      <c r="D13" s="2">
        <f>HMI!N15</f>
        <v>2.5</v>
      </c>
      <c r="E13" s="125"/>
      <c r="G13" s="133" t="str">
        <f>C5</f>
        <v>Vph spike (V) @ run</v>
      </c>
      <c r="H13" s="109">
        <f>D5</f>
        <v>35</v>
      </c>
      <c r="J13" s="136" t="s">
        <v>309</v>
      </c>
      <c r="K13" s="148">
        <f>K10/K12*1000</f>
        <v>96.418732782369133</v>
      </c>
      <c r="M13" s="144"/>
      <c r="N13" s="145"/>
    </row>
    <row r="14" spans="2:14" ht="15" thickBot="1" x14ac:dyDescent="0.4">
      <c r="B14" s="125"/>
      <c r="C14" s="36" t="str">
        <f>HMI!M16</f>
        <v>Charge factor</v>
      </c>
      <c r="D14" s="2">
        <f>HMI!N16</f>
        <v>12</v>
      </c>
      <c r="E14" s="125"/>
      <c r="G14" s="142" t="s">
        <v>290</v>
      </c>
      <c r="H14" s="149">
        <f>H13^2/(H11+H12)*1000</f>
        <v>61.868686868686872</v>
      </c>
      <c r="J14" s="142" t="s">
        <v>308</v>
      </c>
      <c r="K14" s="149">
        <f>K11/K12*1000</f>
        <v>69.421487603305792</v>
      </c>
      <c r="M14" s="134"/>
      <c r="N14" s="135"/>
    </row>
    <row r="15" spans="2:14" ht="15" thickBot="1" x14ac:dyDescent="0.4">
      <c r="C15" s="100" t="str">
        <f>HMI!M11</f>
        <v>Csamp (pF)</v>
      </c>
      <c r="D15" s="95">
        <f>HMI!N11</f>
        <v>5</v>
      </c>
      <c r="G15" s="144"/>
      <c r="H15" s="145"/>
      <c r="J15" s="144"/>
      <c r="K15" s="145"/>
      <c r="M15" s="138"/>
      <c r="N15" s="139"/>
    </row>
    <row r="16" spans="2:14" ht="15" thickBot="1" x14ac:dyDescent="0.4">
      <c r="C16" s="100" t="str">
        <f>HMI!M12</f>
        <v>Tadc,clock (ns)</v>
      </c>
      <c r="D16" s="95">
        <f>HMI!N12</f>
        <v>16.666666666666668</v>
      </c>
      <c r="G16" s="134"/>
      <c r="H16" s="135"/>
      <c r="J16" s="134"/>
      <c r="K16" s="135"/>
    </row>
    <row r="17" spans="2:14" ht="15" thickBot="1" x14ac:dyDescent="0.4">
      <c r="B17" s="125"/>
      <c r="C17" s="125"/>
      <c r="D17" s="125"/>
      <c r="E17" s="125"/>
      <c r="G17" s="138"/>
      <c r="H17" s="139"/>
      <c r="J17" s="134"/>
      <c r="K17" s="135"/>
      <c r="M17" s="131" t="str">
        <f>C13</f>
        <v>Nsamp (cycle)</v>
      </c>
      <c r="N17" s="154">
        <f>D13</f>
        <v>2.5</v>
      </c>
    </row>
    <row r="18" spans="2:14" ht="15" thickBot="1" x14ac:dyDescent="0.4">
      <c r="B18" s="125"/>
      <c r="C18" s="105" t="str">
        <f>HMI!M1</f>
        <v>Rv2 &amp; Rtrace</v>
      </c>
      <c r="D18" s="106"/>
      <c r="E18" s="126"/>
      <c r="J18" s="134"/>
      <c r="K18" s="135"/>
      <c r="M18" s="133" t="str">
        <f>C12</f>
        <v>Tadc,clock (ns)</v>
      </c>
      <c r="N18" s="141">
        <f>D12</f>
        <v>16.666666666666668</v>
      </c>
    </row>
    <row r="19" spans="2:14" ht="15" thickBot="1" x14ac:dyDescent="0.4">
      <c r="B19" s="125"/>
      <c r="C19" s="100" t="str">
        <f>HMI!M3</f>
        <v>Rv2 name</v>
      </c>
      <c r="D19" s="95" t="str">
        <f>HMI!N3</f>
        <v>1.8kΩ, 2012m</v>
      </c>
      <c r="E19" s="128"/>
      <c r="G19" s="131" t="str">
        <f>G6</f>
        <v>Rv1 (Ω)</v>
      </c>
      <c r="H19" s="132">
        <f>H6</f>
        <v>18000</v>
      </c>
      <c r="J19" s="138"/>
      <c r="K19" s="139"/>
      <c r="M19" s="151" t="s">
        <v>320</v>
      </c>
      <c r="N19" s="153">
        <f>N17*N18</f>
        <v>41.666666666666671</v>
      </c>
    </row>
    <row r="20" spans="2:14" ht="15" thickBot="1" x14ac:dyDescent="0.4">
      <c r="B20" s="125"/>
      <c r="C20" s="100" t="s">
        <v>287</v>
      </c>
      <c r="D20" s="95">
        <f>_xlfn.XLOOKUP(D19, DB_R[Description], DB_R[R (Ω)])</f>
        <v>1800</v>
      </c>
      <c r="E20" s="128"/>
      <c r="G20" s="133" t="str">
        <f>C20</f>
        <v>Rv2 (Ω)</v>
      </c>
      <c r="H20" s="109">
        <f>D20</f>
        <v>1800</v>
      </c>
      <c r="M20" s="144"/>
      <c r="N20" s="145"/>
    </row>
    <row r="21" spans="2:14" x14ac:dyDescent="0.35">
      <c r="B21" s="125"/>
      <c r="C21" s="100" t="str">
        <f>HMI!M5</f>
        <v>Radc,ext name</v>
      </c>
      <c r="D21" s="95" t="str">
        <f>HMI!N5</f>
        <v>33Ω, 2012m</v>
      </c>
      <c r="E21" s="128"/>
      <c r="G21" s="133" t="str">
        <f>C5</f>
        <v>Vph spike (V) @ run</v>
      </c>
      <c r="H21" s="109">
        <f>D5</f>
        <v>35</v>
      </c>
      <c r="J21" s="131" t="str">
        <f>G23</f>
        <v>Vdivider,spike (V)</v>
      </c>
      <c r="K21" s="140">
        <f>H23</f>
        <v>3.1818181818181817</v>
      </c>
      <c r="M21" s="134"/>
      <c r="N21" s="135"/>
    </row>
    <row r="22" spans="2:14" ht="15" thickBot="1" x14ac:dyDescent="0.4">
      <c r="B22" s="125"/>
      <c r="C22" s="100" t="s">
        <v>324</v>
      </c>
      <c r="D22" s="95">
        <f>_xlfn.XLOOKUP(D21, DB_R[Description], DB_R[R (Ω)])</f>
        <v>33</v>
      </c>
      <c r="E22" s="128"/>
      <c r="G22" s="133" t="str">
        <f>C6</f>
        <v>Vbat,typ (V)</v>
      </c>
      <c r="H22" s="109">
        <f>D6</f>
        <v>25.200000000000003</v>
      </c>
      <c r="J22" s="133" t="str">
        <f>C10</f>
        <v>Vref,adc (V)</v>
      </c>
      <c r="K22" s="109">
        <f>D10</f>
        <v>3.3</v>
      </c>
      <c r="M22" s="138"/>
      <c r="N22" s="139"/>
    </row>
    <row r="23" spans="2:14" ht="15" thickBot="1" x14ac:dyDescent="0.4">
      <c r="B23" s="125"/>
      <c r="C23" s="125"/>
      <c r="D23" s="125"/>
      <c r="E23" s="128"/>
      <c r="G23" s="136" t="s">
        <v>304</v>
      </c>
      <c r="H23" s="137">
        <f>H20*H21/(H20+H19)</f>
        <v>3.1818181818181817</v>
      </c>
      <c r="J23" s="133" t="str">
        <f>C11</f>
        <v>Resolution (bit)</v>
      </c>
      <c r="K23" s="109">
        <f>D11</f>
        <v>8</v>
      </c>
    </row>
    <row r="24" spans="2:14" ht="15" thickBot="1" x14ac:dyDescent="0.4">
      <c r="C24" s="105" t="s">
        <v>325</v>
      </c>
      <c r="D24" s="106"/>
      <c r="G24" s="142" t="s">
        <v>307</v>
      </c>
      <c r="H24" s="143">
        <f>H20*H22/(H20+H19)</f>
        <v>2.2909090909090915</v>
      </c>
      <c r="J24" s="133" t="str">
        <f>C5</f>
        <v>Vph spike (V) @ run</v>
      </c>
      <c r="K24" s="109">
        <f>D5</f>
        <v>35</v>
      </c>
      <c r="M24" s="131" t="str">
        <f>C14</f>
        <v>Charge factor</v>
      </c>
      <c r="N24" s="132">
        <f>D14</f>
        <v>12</v>
      </c>
    </row>
    <row r="25" spans="2:14" ht="15" thickBot="1" x14ac:dyDescent="0.4">
      <c r="G25" s="144"/>
      <c r="H25" s="145"/>
      <c r="J25" s="142" t="s">
        <v>321</v>
      </c>
      <c r="K25" s="146">
        <f>K22/K21/(2^K23-1)*K24*1000</f>
        <v>142.35294117647058</v>
      </c>
      <c r="M25" s="133" t="str">
        <f>C22</f>
        <v>Radc,ext (Ω)</v>
      </c>
      <c r="N25" s="109">
        <f>D22</f>
        <v>33</v>
      </c>
    </row>
    <row r="26" spans="2:14" x14ac:dyDescent="0.35">
      <c r="G26" s="134"/>
      <c r="H26" s="135"/>
      <c r="J26" s="144"/>
      <c r="K26" s="145"/>
      <c r="M26" s="133" t="str">
        <f>M4</f>
        <v>Rthvn (Ω)</v>
      </c>
      <c r="N26" s="148">
        <f>N4</f>
        <v>1636.3636363636363</v>
      </c>
    </row>
    <row r="27" spans="2:14" x14ac:dyDescent="0.35">
      <c r="B27" s="125"/>
      <c r="C27" s="125"/>
      <c r="D27" s="125"/>
      <c r="E27" s="125"/>
      <c r="G27" s="134"/>
      <c r="H27" s="135"/>
      <c r="J27" s="134"/>
      <c r="K27" s="135"/>
      <c r="M27" s="133" t="str">
        <f>C15</f>
        <v>Csamp (pF)</v>
      </c>
      <c r="N27" s="109">
        <f>D15</f>
        <v>5</v>
      </c>
    </row>
    <row r="28" spans="2:14" ht="15" thickBot="1" x14ac:dyDescent="0.4">
      <c r="B28" s="125"/>
      <c r="C28"/>
      <c r="D28"/>
      <c r="E28" s="125"/>
      <c r="G28" s="134"/>
      <c r="H28" s="135"/>
      <c r="J28" s="138"/>
      <c r="K28" s="139"/>
      <c r="M28" s="133" t="str">
        <f>C11</f>
        <v>Resolution (bit)</v>
      </c>
      <c r="N28" s="109">
        <f>D11</f>
        <v>8</v>
      </c>
    </row>
    <row r="29" spans="2:14" ht="15" thickBot="1" x14ac:dyDescent="0.4">
      <c r="B29" s="125"/>
      <c r="E29" s="125"/>
      <c r="G29" s="138"/>
      <c r="H29" s="139"/>
      <c r="M29" s="155" t="s">
        <v>327</v>
      </c>
      <c r="N29" s="109">
        <v>1</v>
      </c>
    </row>
    <row r="30" spans="2:14" ht="15" thickBot="1" x14ac:dyDescent="0.4">
      <c r="B30" s="125"/>
      <c r="E30" s="125"/>
      <c r="M30" s="142" t="s">
        <v>328</v>
      </c>
      <c r="N30" s="143">
        <f>N24*(N25+N26)*N27*LN(2^N28/N29)*10^-3</f>
        <v>555.41505497988101</v>
      </c>
    </row>
    <row r="31" spans="2:14" x14ac:dyDescent="0.35">
      <c r="B31" s="125"/>
      <c r="E31" s="125"/>
      <c r="M31" s="144"/>
      <c r="N31" s="145"/>
    </row>
    <row r="32" spans="2:14" x14ac:dyDescent="0.35">
      <c r="B32" s="125"/>
      <c r="E32" s="125"/>
      <c r="M32" s="134"/>
      <c r="N32" s="135"/>
    </row>
    <row r="33" spans="2:14" ht="15" thickBot="1" x14ac:dyDescent="0.4">
      <c r="B33" s="125"/>
      <c r="E33" s="125"/>
      <c r="M33" s="138"/>
      <c r="N33" s="139"/>
    </row>
    <row r="34" spans="2:14" x14ac:dyDescent="0.35">
      <c r="B34" s="125"/>
      <c r="E34" s="125"/>
    </row>
    <row r="35" spans="2:14" x14ac:dyDescent="0.35">
      <c r="B35" s="125"/>
      <c r="E35" s="125"/>
    </row>
    <row r="36" spans="2:14" x14ac:dyDescent="0.35">
      <c r="B36" s="125"/>
      <c r="E36" s="125"/>
    </row>
    <row r="37" spans="2:14" x14ac:dyDescent="0.35">
      <c r="B37" s="125"/>
      <c r="E37" s="125"/>
    </row>
    <row r="38" spans="2:14" x14ac:dyDescent="0.35">
      <c r="B38" s="125"/>
      <c r="E38" s="125"/>
    </row>
    <row r="39" spans="2:14" x14ac:dyDescent="0.35">
      <c r="B39" s="125"/>
      <c r="C39" s="125"/>
      <c r="D39" s="125"/>
      <c r="E39" s="125"/>
    </row>
  </sheetData>
  <mergeCells count="2">
    <mergeCell ref="C3:D3"/>
    <mergeCell ref="C8:D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7FA7-98B1-43B3-8996-93B4082609D4}">
  <sheetPr>
    <tabColor rgb="FF00B0F0"/>
  </sheetPr>
  <dimension ref="B2:S42"/>
  <sheetViews>
    <sheetView zoomScale="85" zoomScaleNormal="85" workbookViewId="0">
      <selection activeCell="E4" sqref="E4"/>
    </sheetView>
  </sheetViews>
  <sheetFormatPr defaultColWidth="10.90625" defaultRowHeight="14.5" x14ac:dyDescent="0.35"/>
  <cols>
    <col min="1" max="1" width="3.453125" customWidth="1"/>
    <col min="2" max="2" width="13.453125" customWidth="1"/>
    <col min="3" max="3" width="12.26953125" bestFit="1" customWidth="1"/>
    <col min="4" max="4" width="11.7265625" customWidth="1"/>
    <col min="5" max="5" width="12.36328125" customWidth="1"/>
    <col min="6" max="6" width="12.7265625" bestFit="1" customWidth="1"/>
    <col min="7" max="7" width="16.90625" bestFit="1" customWidth="1"/>
    <col min="8" max="8" width="14.54296875" bestFit="1" customWidth="1"/>
    <col min="9" max="9" width="19.08984375" customWidth="1"/>
    <col min="10" max="10" width="17.453125" bestFit="1" customWidth="1"/>
    <col min="11" max="11" width="20" customWidth="1"/>
    <col min="12" max="12" width="5.453125" customWidth="1"/>
    <col min="13" max="13" width="25.453125" customWidth="1"/>
    <col min="14" max="14" width="13.36328125" bestFit="1" customWidth="1"/>
    <col min="15" max="15" width="6" bestFit="1" customWidth="1"/>
    <col min="16" max="16" width="2.26953125" customWidth="1"/>
    <col min="17" max="17" width="22" customWidth="1"/>
    <col min="19" max="19" width="6.08984375" bestFit="1" customWidth="1"/>
  </cols>
  <sheetData>
    <row r="2" spans="2:19" x14ac:dyDescent="0.35">
      <c r="B2" s="85" t="s">
        <v>55</v>
      </c>
      <c r="C2" s="86"/>
      <c r="D2" s="86"/>
      <c r="E2" s="86"/>
      <c r="F2" s="86"/>
      <c r="G2" s="86"/>
      <c r="H2" s="86"/>
      <c r="I2" s="86"/>
      <c r="J2" s="86"/>
      <c r="K2" s="87"/>
      <c r="M2" s="8" t="str">
        <f>HMI!A12</f>
        <v>Vph spike (V) @ disarm</v>
      </c>
      <c r="N2" s="2">
        <f>HMI!B12</f>
        <v>28</v>
      </c>
      <c r="O2" s="3" t="s">
        <v>2</v>
      </c>
      <c r="Q2" s="8" t="s">
        <v>25</v>
      </c>
      <c r="R2" s="2">
        <f>HMI!T10</f>
        <v>12</v>
      </c>
      <c r="S2" s="3" t="s">
        <v>26</v>
      </c>
    </row>
    <row r="3" spans="2:19" x14ac:dyDescent="0.35">
      <c r="B3" s="4" t="s">
        <v>0</v>
      </c>
      <c r="C3" s="4" t="s">
        <v>1</v>
      </c>
      <c r="D3" s="4" t="s">
        <v>3</v>
      </c>
      <c r="E3" s="4" t="s">
        <v>4</v>
      </c>
      <c r="F3" s="4" t="s">
        <v>61</v>
      </c>
      <c r="G3" s="4" t="s">
        <v>60</v>
      </c>
      <c r="H3" s="4" t="s">
        <v>35</v>
      </c>
      <c r="I3" s="4" t="s">
        <v>10</v>
      </c>
      <c r="J3" s="4" t="s">
        <v>42</v>
      </c>
      <c r="K3" s="4" t="s">
        <v>41</v>
      </c>
      <c r="M3" s="8" t="str">
        <f>HMI!A8</f>
        <v>Vbat,typ (V)</v>
      </c>
      <c r="N3" s="7">
        <f>HMI!B8</f>
        <v>25.200000000000003</v>
      </c>
      <c r="O3" s="3" t="s">
        <v>2</v>
      </c>
      <c r="Q3" s="8" t="s">
        <v>25</v>
      </c>
      <c r="R3" s="2">
        <f>2^R2</f>
        <v>4096</v>
      </c>
      <c r="S3" s="3" t="s">
        <v>27</v>
      </c>
    </row>
    <row r="4" spans="2:19" x14ac:dyDescent="0.35">
      <c r="B4" s="5">
        <v>0.1</v>
      </c>
      <c r="C4" s="5">
        <f t="shared" ref="C4:C22" si="0">B4/$N$5</f>
        <v>0.74848484848484864</v>
      </c>
      <c r="D4" s="48">
        <f>B4*C4/(B4+C4)+$N$17/1000</f>
        <v>0.13521428571428573</v>
      </c>
      <c r="E4" s="7">
        <f>$N$4/D4</f>
        <v>24.405705229793973</v>
      </c>
      <c r="F4" s="6">
        <f>IF($N$9=0,$N$23*($N$8+$N$7)*D4,$N$23*(0.01)*$N$7)</f>
        <v>0.36</v>
      </c>
      <c r="G4" s="6">
        <f>$N$9*(D4+$N$17/1000)*$N$14</f>
        <v>182.21428571428572</v>
      </c>
      <c r="H4" s="6">
        <f>1/(2*PI()*($N$8+$N$7+$N$9)*D4)*1000</f>
        <v>11.361555595429486</v>
      </c>
      <c r="I4" s="7">
        <f>$N$3*$N$3/(C4+B4)</f>
        <v>748.44</v>
      </c>
      <c r="J4" s="7">
        <f t="shared" ref="J4:J33" si="1">I4*$R$10/1000</f>
        <v>59.875200000000007</v>
      </c>
      <c r="K4" s="7">
        <f t="shared" ref="K4:K33" si="2">I4*$R$11/1000</f>
        <v>112.26600000000002</v>
      </c>
      <c r="M4" s="8" t="s">
        <v>66</v>
      </c>
      <c r="N4" s="2">
        <f>HMI!T4</f>
        <v>3.3</v>
      </c>
      <c r="O4" s="3" t="s">
        <v>2</v>
      </c>
      <c r="Q4" s="8" t="s">
        <v>25</v>
      </c>
      <c r="R4" s="16">
        <f>N2/R3</f>
        <v>6.8359375E-3</v>
      </c>
      <c r="S4" s="3" t="s">
        <v>28</v>
      </c>
    </row>
    <row r="5" spans="2:19" x14ac:dyDescent="0.35">
      <c r="B5" s="5">
        <v>0.2</v>
      </c>
      <c r="C5" s="5">
        <f t="shared" si="0"/>
        <v>1.4969696969696973</v>
      </c>
      <c r="D5" s="6">
        <f t="shared" ref="D5:D33" si="3">B5*C5/(B5+C5)+$N$17/1000</f>
        <v>0.22342857142857148</v>
      </c>
      <c r="E5" s="7">
        <f t="shared" ref="E5:E22" si="4">$N$4/D5</f>
        <v>14.769820971867004</v>
      </c>
      <c r="F5" s="6">
        <f t="shared" ref="F5:F33" si="5">IF($N$9=0,$N$23*($N$8+$N$7)*D5,$N$23*(0.1)*$N$7)</f>
        <v>3.5999999999999996</v>
      </c>
      <c r="G5" s="6">
        <f t="shared" ref="G5:G35" si="6">$N$9*(D5+$N$17/1000)*$N$14</f>
        <v>270.42857142857144</v>
      </c>
      <c r="H5" s="6">
        <f t="shared" ref="H5:H33" si="7">1/(2*PI()*($N$8+$N$7+$N$9)*D5)*1000</f>
        <v>6.8757751733209771</v>
      </c>
      <c r="I5" s="7">
        <f t="shared" ref="I5:I13" si="8">$N$3*$N$3/(C5+B5)</f>
        <v>374.22</v>
      </c>
      <c r="J5" s="7">
        <f t="shared" si="1"/>
        <v>29.937600000000003</v>
      </c>
      <c r="K5" s="7">
        <f t="shared" si="2"/>
        <v>56.13300000000001</v>
      </c>
      <c r="M5" s="8" t="s">
        <v>5</v>
      </c>
      <c r="N5" s="5">
        <f>N4/(N2-N4)</f>
        <v>0.13360323886639675</v>
      </c>
      <c r="O5" s="3" t="s">
        <v>6</v>
      </c>
      <c r="Q5" s="8" t="s">
        <v>29</v>
      </c>
      <c r="R5" s="9">
        <f>N3/R4</f>
        <v>3686.4000000000005</v>
      </c>
      <c r="S5" s="3" t="s">
        <v>27</v>
      </c>
    </row>
    <row r="6" spans="2:19" x14ac:dyDescent="0.35">
      <c r="B6" s="5">
        <v>0.3</v>
      </c>
      <c r="C6" s="5">
        <f t="shared" si="0"/>
        <v>2.2454545454545456</v>
      </c>
      <c r="D6" s="6">
        <f t="shared" si="3"/>
        <v>0.31164285714285717</v>
      </c>
      <c r="E6" s="7">
        <f t="shared" si="4"/>
        <v>10.589044235617694</v>
      </c>
      <c r="F6" s="6">
        <f t="shared" si="5"/>
        <v>3.5999999999999996</v>
      </c>
      <c r="G6" s="6">
        <f t="shared" si="6"/>
        <v>358.64285714285711</v>
      </c>
      <c r="H6" s="6">
        <f t="shared" si="7"/>
        <v>4.9295037227018152</v>
      </c>
      <c r="I6" s="7">
        <f t="shared" si="8"/>
        <v>249.48000000000008</v>
      </c>
      <c r="J6" s="7">
        <f t="shared" si="1"/>
        <v>19.958400000000005</v>
      </c>
      <c r="K6" s="7">
        <f t="shared" si="2"/>
        <v>37.422000000000011</v>
      </c>
      <c r="N6" s="1"/>
      <c r="Q6" s="8" t="s">
        <v>70</v>
      </c>
      <c r="R6" s="7">
        <f>N22</f>
        <v>500</v>
      </c>
      <c r="S6" s="3" t="s">
        <v>15</v>
      </c>
    </row>
    <row r="7" spans="2:19" x14ac:dyDescent="0.35">
      <c r="B7" s="5">
        <v>0.4</v>
      </c>
      <c r="C7" s="5">
        <f t="shared" si="0"/>
        <v>2.9939393939393946</v>
      </c>
      <c r="D7" s="6">
        <f t="shared" si="3"/>
        <v>0.39985714285714291</v>
      </c>
      <c r="E7" s="7">
        <f t="shared" si="4"/>
        <v>8.2529474812433001</v>
      </c>
      <c r="F7" s="6">
        <f t="shared" si="5"/>
        <v>3.5999999999999996</v>
      </c>
      <c r="G7" s="6">
        <f t="shared" si="6"/>
        <v>446.85714285714289</v>
      </c>
      <c r="H7" s="6">
        <f t="shared" si="7"/>
        <v>3.8419836981329083</v>
      </c>
      <c r="I7" s="7">
        <f t="shared" si="8"/>
        <v>187.11</v>
      </c>
      <c r="J7" s="7">
        <f t="shared" si="1"/>
        <v>14.968800000000002</v>
      </c>
      <c r="K7" s="7">
        <f t="shared" si="2"/>
        <v>28.066500000000005</v>
      </c>
      <c r="M7" s="8" t="s">
        <v>7</v>
      </c>
      <c r="N7" s="2">
        <f>_xlfn.XLOOKUP(HMI!S3, DB_ADC[Name], DB_ADC[Vmax (V)])</f>
        <v>3.5999999999999996</v>
      </c>
      <c r="O7" s="3" t="s">
        <v>9</v>
      </c>
      <c r="Q7" s="8" t="s">
        <v>69</v>
      </c>
      <c r="R7" s="9">
        <f>R2/N21*1000</f>
        <v>2400</v>
      </c>
      <c r="S7" s="3" t="s">
        <v>15</v>
      </c>
    </row>
    <row r="8" spans="2:19" x14ac:dyDescent="0.35">
      <c r="B8" s="5">
        <v>0.5</v>
      </c>
      <c r="C8" s="5">
        <f t="shared" si="0"/>
        <v>3.7424242424242427</v>
      </c>
      <c r="D8" s="6">
        <f t="shared" si="3"/>
        <v>0.4880714285714286</v>
      </c>
      <c r="E8" s="7">
        <f t="shared" si="4"/>
        <v>6.7613054295331469</v>
      </c>
      <c r="F8" s="6">
        <f t="shared" si="5"/>
        <v>3.5999999999999996</v>
      </c>
      <c r="G8" s="6">
        <f t="shared" si="6"/>
        <v>535.07142857142867</v>
      </c>
      <c r="H8" s="6">
        <f t="shared" si="7"/>
        <v>3.1475815516095449</v>
      </c>
      <c r="I8" s="7">
        <f t="shared" si="8"/>
        <v>149.68800000000005</v>
      </c>
      <c r="J8" s="7">
        <f t="shared" si="1"/>
        <v>11.975040000000005</v>
      </c>
      <c r="K8" s="7">
        <f t="shared" si="2"/>
        <v>22.45320000000001</v>
      </c>
      <c r="M8" s="8" t="s">
        <v>8</v>
      </c>
      <c r="N8" s="2">
        <v>0</v>
      </c>
      <c r="O8" s="3" t="s">
        <v>9</v>
      </c>
      <c r="Q8" s="8" t="s">
        <v>71</v>
      </c>
      <c r="R8" s="7">
        <f>R7+R6</f>
        <v>2900</v>
      </c>
      <c r="S8" s="3" t="s">
        <v>15</v>
      </c>
    </row>
    <row r="9" spans="2:19" x14ac:dyDescent="0.35">
      <c r="B9" s="5">
        <v>0.6</v>
      </c>
      <c r="C9" s="5">
        <f t="shared" si="0"/>
        <v>4.4909090909090912</v>
      </c>
      <c r="D9" s="6">
        <f t="shared" si="3"/>
        <v>0.5762857142857144</v>
      </c>
      <c r="E9" s="7">
        <f t="shared" si="4"/>
        <v>5.7263262270699045</v>
      </c>
      <c r="F9" s="6">
        <f t="shared" si="5"/>
        <v>3.5999999999999996</v>
      </c>
      <c r="G9" s="6">
        <f t="shared" si="6"/>
        <v>623.28571428571445</v>
      </c>
      <c r="H9" s="6">
        <f t="shared" si="7"/>
        <v>2.6657690557942515</v>
      </c>
      <c r="I9" s="7">
        <f t="shared" si="8"/>
        <v>124.74000000000004</v>
      </c>
      <c r="J9" s="7">
        <f t="shared" si="1"/>
        <v>9.9792000000000023</v>
      </c>
      <c r="K9" s="7">
        <f t="shared" si="2"/>
        <v>18.711000000000006</v>
      </c>
      <c r="M9" s="8" t="s">
        <v>36</v>
      </c>
      <c r="N9" s="17">
        <f>HMI!T19</f>
        <v>100</v>
      </c>
      <c r="O9" s="3" t="s">
        <v>9</v>
      </c>
    </row>
    <row r="10" spans="2:19" x14ac:dyDescent="0.35">
      <c r="B10" s="5">
        <v>0.7</v>
      </c>
      <c r="C10" s="5">
        <f t="shared" si="0"/>
        <v>5.2393939393939393</v>
      </c>
      <c r="D10" s="6">
        <f t="shared" si="3"/>
        <v>0.66449999999999998</v>
      </c>
      <c r="E10" s="7">
        <f t="shared" si="4"/>
        <v>4.966139954853273</v>
      </c>
      <c r="F10" s="6">
        <f t="shared" si="5"/>
        <v>3.5999999999999996</v>
      </c>
      <c r="G10" s="6">
        <f t="shared" si="6"/>
        <v>711.5</v>
      </c>
      <c r="H10" s="6">
        <f t="shared" si="7"/>
        <v>2.3118805484411502</v>
      </c>
      <c r="I10" s="7">
        <f t="shared" si="8"/>
        <v>106.92000000000003</v>
      </c>
      <c r="J10" s="7">
        <f t="shared" si="1"/>
        <v>8.553600000000003</v>
      </c>
      <c r="K10" s="7">
        <f t="shared" si="2"/>
        <v>16.038000000000004</v>
      </c>
      <c r="M10" s="8" t="s">
        <v>220</v>
      </c>
      <c r="N10" s="2">
        <f>HMI!B6</f>
        <v>64</v>
      </c>
      <c r="O10" s="3" t="s">
        <v>24</v>
      </c>
      <c r="Q10" s="8" t="s">
        <v>43</v>
      </c>
      <c r="R10" s="2">
        <v>80</v>
      </c>
      <c r="S10" s="3" t="s">
        <v>32</v>
      </c>
    </row>
    <row r="11" spans="2:19" x14ac:dyDescent="0.35">
      <c r="B11" s="5">
        <v>0.8</v>
      </c>
      <c r="C11" s="5">
        <f t="shared" si="0"/>
        <v>5.9878787878787891</v>
      </c>
      <c r="D11" s="6">
        <f t="shared" si="3"/>
        <v>0.75271428571428589</v>
      </c>
      <c r="E11" s="7">
        <f t="shared" si="4"/>
        <v>4.3841336116910217</v>
      </c>
      <c r="F11" s="6">
        <f t="shared" si="5"/>
        <v>3.5999999999999996</v>
      </c>
      <c r="G11" s="6">
        <f t="shared" si="6"/>
        <v>799.71428571428589</v>
      </c>
      <c r="H11" s="6">
        <f t="shared" si="7"/>
        <v>2.0409399072070618</v>
      </c>
      <c r="I11" s="7">
        <f t="shared" si="8"/>
        <v>93.555000000000007</v>
      </c>
      <c r="J11" s="7">
        <f t="shared" si="1"/>
        <v>7.4844000000000008</v>
      </c>
      <c r="K11" s="7">
        <f t="shared" si="2"/>
        <v>14.033250000000002</v>
      </c>
      <c r="M11" s="8" t="s">
        <v>44</v>
      </c>
      <c r="N11" s="2">
        <v>5</v>
      </c>
      <c r="O11" s="3" t="s">
        <v>6</v>
      </c>
      <c r="Q11" s="8" t="s">
        <v>40</v>
      </c>
      <c r="R11" s="2">
        <v>150</v>
      </c>
      <c r="S11" s="3" t="s">
        <v>32</v>
      </c>
    </row>
    <row r="12" spans="2:19" x14ac:dyDescent="0.35">
      <c r="B12" s="5">
        <v>0.9</v>
      </c>
      <c r="C12" s="5">
        <f t="shared" si="0"/>
        <v>6.7363636363636372</v>
      </c>
      <c r="D12" s="6">
        <f t="shared" si="3"/>
        <v>0.84092857142857147</v>
      </c>
      <c r="E12" s="7">
        <f t="shared" si="4"/>
        <v>3.9242334154421128</v>
      </c>
      <c r="F12" s="6">
        <f t="shared" si="5"/>
        <v>3.5999999999999996</v>
      </c>
      <c r="G12" s="6">
        <f t="shared" si="6"/>
        <v>887.92857142857144</v>
      </c>
      <c r="H12" s="6">
        <f t="shared" si="7"/>
        <v>1.8268431786416395</v>
      </c>
      <c r="I12" s="7">
        <f t="shared" si="8"/>
        <v>83.160000000000011</v>
      </c>
      <c r="J12" s="7">
        <f t="shared" si="1"/>
        <v>6.6528000000000009</v>
      </c>
      <c r="K12" s="7">
        <f t="shared" si="2"/>
        <v>12.474000000000002</v>
      </c>
      <c r="M12" s="8" t="s">
        <v>45</v>
      </c>
      <c r="N12" s="6">
        <f>(1-1/SQRT(1+(N10/N11/N10)^2))*100</f>
        <v>1.9419324309079888</v>
      </c>
      <c r="O12" s="3" t="s">
        <v>31</v>
      </c>
      <c r="Q12" s="8" t="s">
        <v>34</v>
      </c>
      <c r="R12" s="17">
        <v>80</v>
      </c>
      <c r="S12" s="18" t="s">
        <v>33</v>
      </c>
    </row>
    <row r="13" spans="2:19" x14ac:dyDescent="0.35">
      <c r="B13" s="5">
        <v>1</v>
      </c>
      <c r="C13" s="5">
        <f t="shared" si="0"/>
        <v>7.4848484848484853</v>
      </c>
      <c r="D13" s="6">
        <f t="shared" si="3"/>
        <v>0.92914285714285727</v>
      </c>
      <c r="E13" s="7">
        <f t="shared" si="4"/>
        <v>3.5516605166051654</v>
      </c>
      <c r="F13" s="6">
        <f t="shared" si="5"/>
        <v>3.5999999999999996</v>
      </c>
      <c r="G13" s="6">
        <f t="shared" si="6"/>
        <v>976.14285714285734</v>
      </c>
      <c r="H13" s="6">
        <f t="shared" si="7"/>
        <v>1.6533998110507395</v>
      </c>
      <c r="I13" s="7">
        <f t="shared" si="8"/>
        <v>74.844000000000023</v>
      </c>
      <c r="J13" s="7">
        <f t="shared" si="1"/>
        <v>5.9875200000000026</v>
      </c>
      <c r="K13" s="7">
        <f t="shared" si="2"/>
        <v>11.226600000000005</v>
      </c>
      <c r="M13" s="8" t="s">
        <v>46</v>
      </c>
      <c r="N13" s="9">
        <f>ATAN(N10/N11/N10)/PI()*180</f>
        <v>11.309932474020215</v>
      </c>
      <c r="O13" s="3" t="s">
        <v>47</v>
      </c>
    </row>
    <row r="14" spans="2:19" x14ac:dyDescent="0.35">
      <c r="B14" s="5">
        <v>1.1000000000000001</v>
      </c>
      <c r="C14" s="5">
        <f t="shared" si="0"/>
        <v>8.2333333333333343</v>
      </c>
      <c r="D14" s="6">
        <f t="shared" si="3"/>
        <v>1.0173571428571431</v>
      </c>
      <c r="E14" s="7">
        <f t="shared" si="4"/>
        <v>3.2436986589903802</v>
      </c>
      <c r="F14" s="6">
        <f t="shared" si="5"/>
        <v>3.5999999999999996</v>
      </c>
      <c r="G14" s="6">
        <f t="shared" si="6"/>
        <v>1064.3571428571429</v>
      </c>
      <c r="H14" s="6">
        <f t="shared" si="7"/>
        <v>1.5100347358104345</v>
      </c>
      <c r="I14" s="7">
        <f t="shared" ref="I14:I21" si="9">$N$3*$N$3/(C14+B14)</f>
        <v>68.04000000000002</v>
      </c>
      <c r="J14" s="7">
        <f t="shared" si="1"/>
        <v>5.4432000000000018</v>
      </c>
      <c r="K14" s="7">
        <f t="shared" si="2"/>
        <v>10.206000000000003</v>
      </c>
      <c r="M14" s="8" t="s">
        <v>62</v>
      </c>
      <c r="N14" s="2">
        <f>N23</f>
        <v>10</v>
      </c>
      <c r="O14" s="3" t="s">
        <v>6</v>
      </c>
      <c r="Q14" t="s">
        <v>17</v>
      </c>
    </row>
    <row r="15" spans="2:19" x14ac:dyDescent="0.35">
      <c r="B15" s="5">
        <v>1.2</v>
      </c>
      <c r="C15" s="5">
        <f t="shared" si="0"/>
        <v>8.9818181818181824</v>
      </c>
      <c r="D15" s="6">
        <f t="shared" si="3"/>
        <v>1.1055714285714286</v>
      </c>
      <c r="E15" s="7">
        <f t="shared" si="4"/>
        <v>2.9848817676702413</v>
      </c>
      <c r="F15" s="6">
        <f t="shared" si="5"/>
        <v>3.5999999999999996</v>
      </c>
      <c r="G15" s="6">
        <f t="shared" si="6"/>
        <v>1152.5714285714284</v>
      </c>
      <c r="H15" s="6">
        <f t="shared" si="7"/>
        <v>1.3895480515666121</v>
      </c>
      <c r="I15" s="7">
        <f t="shared" si="9"/>
        <v>62.370000000000019</v>
      </c>
      <c r="J15" s="7">
        <f t="shared" si="1"/>
        <v>4.9896000000000011</v>
      </c>
      <c r="K15" s="7">
        <f t="shared" si="2"/>
        <v>9.3555000000000028</v>
      </c>
      <c r="M15" s="8" t="s">
        <v>30</v>
      </c>
      <c r="N15" s="5">
        <f>(EXP(-N14))*100</f>
        <v>4.5399929762484853E-3</v>
      </c>
      <c r="O15" s="3" t="s">
        <v>31</v>
      </c>
      <c r="Q15" t="s">
        <v>18</v>
      </c>
    </row>
    <row r="16" spans="2:19" x14ac:dyDescent="0.35">
      <c r="B16" s="5">
        <v>1.3</v>
      </c>
      <c r="C16" s="5">
        <f t="shared" si="0"/>
        <v>9.7303030303030322</v>
      </c>
      <c r="D16" s="6">
        <f t="shared" si="3"/>
        <v>1.1937857142857142</v>
      </c>
      <c r="E16" s="7">
        <f t="shared" si="4"/>
        <v>2.7643152037336205</v>
      </c>
      <c r="F16" s="6">
        <f t="shared" si="5"/>
        <v>3.5999999999999996</v>
      </c>
      <c r="G16" s="6">
        <f t="shared" si="6"/>
        <v>1240.7857142857142</v>
      </c>
      <c r="H16" s="6">
        <f t="shared" si="7"/>
        <v>1.2868679915124766</v>
      </c>
      <c r="I16" s="7">
        <f t="shared" si="9"/>
        <v>57.572307692307696</v>
      </c>
      <c r="J16" s="7">
        <f t="shared" si="1"/>
        <v>4.605784615384616</v>
      </c>
      <c r="K16" s="7">
        <f t="shared" si="2"/>
        <v>8.6358461538461544</v>
      </c>
      <c r="M16" s="8" t="s">
        <v>64</v>
      </c>
      <c r="N16" s="2">
        <f>HMI!B18</f>
        <v>480</v>
      </c>
      <c r="O16" s="3" t="s">
        <v>15</v>
      </c>
      <c r="Q16" s="10" t="s">
        <v>22</v>
      </c>
    </row>
    <row r="17" spans="2:17" x14ac:dyDescent="0.35">
      <c r="B17" s="5">
        <v>1.4</v>
      </c>
      <c r="C17" s="5">
        <f t="shared" si="0"/>
        <v>10.478787878787879</v>
      </c>
      <c r="D17" s="6">
        <f t="shared" si="3"/>
        <v>1.2819999999999998</v>
      </c>
      <c r="E17" s="7">
        <f t="shared" si="4"/>
        <v>2.5741029641185649</v>
      </c>
      <c r="F17" s="6">
        <f t="shared" si="5"/>
        <v>3.5999999999999996</v>
      </c>
      <c r="G17" s="6">
        <f t="shared" si="6"/>
        <v>1328.9999999999998</v>
      </c>
      <c r="H17" s="6">
        <f t="shared" si="7"/>
        <v>1.1983187398121253</v>
      </c>
      <c r="I17" s="7">
        <f t="shared" si="9"/>
        <v>53.460000000000015</v>
      </c>
      <c r="J17" s="7">
        <f t="shared" si="1"/>
        <v>4.2768000000000015</v>
      </c>
      <c r="K17" s="7">
        <f t="shared" si="2"/>
        <v>8.0190000000000019</v>
      </c>
      <c r="M17" s="8" t="s">
        <v>67</v>
      </c>
      <c r="N17" s="2">
        <f>Radc</f>
        <v>47</v>
      </c>
      <c r="O17" s="3" t="s">
        <v>68</v>
      </c>
    </row>
    <row r="18" spans="2:17" ht="15" thickBot="1" x14ac:dyDescent="0.4">
      <c r="B18" s="5">
        <v>1.5</v>
      </c>
      <c r="C18" s="5">
        <f t="shared" si="0"/>
        <v>11.227272727272728</v>
      </c>
      <c r="D18" s="6">
        <f t="shared" si="3"/>
        <v>1.3702142857142858</v>
      </c>
      <c r="E18" s="7">
        <f t="shared" si="4"/>
        <v>2.4083824219360888</v>
      </c>
      <c r="F18" s="6">
        <f t="shared" si="5"/>
        <v>3.5999999999999996</v>
      </c>
      <c r="G18" s="6">
        <f t="shared" si="6"/>
        <v>1417.2142857142858</v>
      </c>
      <c r="H18" s="6">
        <f t="shared" si="7"/>
        <v>1.1211710755433468</v>
      </c>
      <c r="I18" s="7">
        <f t="shared" si="9"/>
        <v>49.896000000000008</v>
      </c>
      <c r="J18" s="7">
        <f t="shared" si="1"/>
        <v>3.9916800000000006</v>
      </c>
      <c r="K18" s="7">
        <f t="shared" si="2"/>
        <v>7.4844000000000017</v>
      </c>
      <c r="Q18" t="s">
        <v>19</v>
      </c>
    </row>
    <row r="19" spans="2:17" x14ac:dyDescent="0.35">
      <c r="B19" s="5">
        <v>1.6</v>
      </c>
      <c r="C19" s="5">
        <f t="shared" si="0"/>
        <v>11.975757575757578</v>
      </c>
      <c r="D19" s="6">
        <f t="shared" si="3"/>
        <v>1.4584285714285716</v>
      </c>
      <c r="E19" s="7">
        <f t="shared" si="4"/>
        <v>2.2627093740816924</v>
      </c>
      <c r="F19" s="6">
        <f t="shared" si="5"/>
        <v>3.5999999999999996</v>
      </c>
      <c r="G19" s="6">
        <f t="shared" si="6"/>
        <v>1505.4285714285716</v>
      </c>
      <c r="H19" s="6">
        <f t="shared" si="7"/>
        <v>1.0533560947275944</v>
      </c>
      <c r="I19" s="7">
        <f t="shared" si="9"/>
        <v>46.777500000000003</v>
      </c>
      <c r="J19" s="7">
        <f t="shared" si="1"/>
        <v>3.7422000000000004</v>
      </c>
      <c r="K19" s="7">
        <f t="shared" si="2"/>
        <v>7.0166250000000012</v>
      </c>
      <c r="M19" s="82" t="s">
        <v>23</v>
      </c>
      <c r="N19" s="83"/>
      <c r="O19" s="84"/>
      <c r="Q19" t="s">
        <v>20</v>
      </c>
    </row>
    <row r="20" spans="2:17" x14ac:dyDescent="0.35">
      <c r="B20" s="5">
        <v>1.7</v>
      </c>
      <c r="C20" s="5">
        <f t="shared" si="0"/>
        <v>12.724242424242425</v>
      </c>
      <c r="D20" s="6">
        <f t="shared" si="3"/>
        <v>1.5466428571428572</v>
      </c>
      <c r="E20" s="7">
        <f t="shared" si="4"/>
        <v>2.1336535353068857</v>
      </c>
      <c r="F20" s="6">
        <f t="shared" si="5"/>
        <v>3.5999999999999996</v>
      </c>
      <c r="G20" s="6">
        <f t="shared" si="6"/>
        <v>1593.6428571428569</v>
      </c>
      <c r="H20" s="6">
        <f t="shared" si="7"/>
        <v>0.99327690122144829</v>
      </c>
      <c r="I20" s="7">
        <f t="shared" si="9"/>
        <v>44.025882352941188</v>
      </c>
      <c r="J20" s="7">
        <f t="shared" si="1"/>
        <v>3.522070588235295</v>
      </c>
      <c r="K20" s="7">
        <f t="shared" si="2"/>
        <v>6.6038823529411781</v>
      </c>
      <c r="M20" s="12" t="s">
        <v>11</v>
      </c>
      <c r="N20" s="2">
        <f>HMI!T9</f>
        <v>2.5</v>
      </c>
      <c r="O20" s="13" t="s">
        <v>14</v>
      </c>
      <c r="Q20" t="s">
        <v>21</v>
      </c>
    </row>
    <row r="21" spans="2:17" x14ac:dyDescent="0.35">
      <c r="B21" s="5">
        <v>1.8</v>
      </c>
      <c r="C21" s="5">
        <f t="shared" si="0"/>
        <v>13.472727272727274</v>
      </c>
      <c r="D21" s="6">
        <f t="shared" si="3"/>
        <v>1.6348571428571428</v>
      </c>
      <c r="E21" s="7">
        <f t="shared" si="4"/>
        <v>2.0185249912617964</v>
      </c>
      <c r="F21" s="6">
        <f t="shared" si="5"/>
        <v>3.5999999999999996</v>
      </c>
      <c r="G21" s="6">
        <f t="shared" si="6"/>
        <v>1681.8571428571429</v>
      </c>
      <c r="H21" s="6">
        <f t="shared" si="7"/>
        <v>0.93968126276424435</v>
      </c>
      <c r="I21" s="7">
        <f t="shared" si="9"/>
        <v>41.580000000000005</v>
      </c>
      <c r="J21" s="7">
        <f t="shared" si="1"/>
        <v>3.3264000000000005</v>
      </c>
      <c r="K21" s="7">
        <f t="shared" si="2"/>
        <v>6.237000000000001</v>
      </c>
      <c r="M21" s="12" t="s">
        <v>12</v>
      </c>
      <c r="N21" s="2">
        <f>HMI!T7</f>
        <v>5</v>
      </c>
      <c r="O21" s="13" t="s">
        <v>13</v>
      </c>
    </row>
    <row r="22" spans="2:17" x14ac:dyDescent="0.35">
      <c r="B22" s="5">
        <v>1.9</v>
      </c>
      <c r="C22" s="5">
        <f t="shared" si="0"/>
        <v>14.221212121212123</v>
      </c>
      <c r="D22" s="6">
        <f t="shared" si="3"/>
        <v>1.7230714285714286</v>
      </c>
      <c r="E22" s="7">
        <f t="shared" si="4"/>
        <v>1.9151846785225717</v>
      </c>
      <c r="F22" s="6">
        <f t="shared" si="5"/>
        <v>3.5999999999999996</v>
      </c>
      <c r="G22" s="6">
        <f t="shared" si="6"/>
        <v>1770.0714285714284</v>
      </c>
      <c r="H22" s="6">
        <f t="shared" si="7"/>
        <v>0.89157338399651875</v>
      </c>
      <c r="I22" s="7">
        <f t="shared" ref="I22" si="10">$N$3*$N$3/(C22+B22)</f>
        <v>39.39157894736843</v>
      </c>
      <c r="J22" s="7">
        <f t="shared" si="1"/>
        <v>3.1513263157894742</v>
      </c>
      <c r="K22" s="7">
        <f t="shared" si="2"/>
        <v>5.908736842105264</v>
      </c>
      <c r="M22" s="12" t="s">
        <v>16</v>
      </c>
      <c r="N22" s="7">
        <f>N20/N21*1000</f>
        <v>500</v>
      </c>
      <c r="O22" s="13" t="s">
        <v>15</v>
      </c>
    </row>
    <row r="23" spans="2:17" x14ac:dyDescent="0.35">
      <c r="B23" s="5">
        <v>2</v>
      </c>
      <c r="C23" s="5">
        <f t="shared" ref="C23:C33" si="11">B23/$N$5</f>
        <v>14.969696969696971</v>
      </c>
      <c r="D23" s="6">
        <f t="shared" si="3"/>
        <v>1.8112857142857144</v>
      </c>
      <c r="E23" s="7">
        <f t="shared" ref="E23:E33" si="12">$N$4/D23</f>
        <v>1.8219102452874831</v>
      </c>
      <c r="F23" s="6">
        <f t="shared" si="5"/>
        <v>3.5999999999999996</v>
      </c>
      <c r="G23" s="6">
        <f t="shared" si="6"/>
        <v>1858.2857142857142</v>
      </c>
      <c r="H23" s="6">
        <f t="shared" si="7"/>
        <v>0.84815146076772696</v>
      </c>
      <c r="I23" s="7">
        <f t="shared" ref="I23:I33" si="13">$N$3*$N$3/(C23+B23)</f>
        <v>37.422000000000011</v>
      </c>
      <c r="J23" s="7">
        <f t="shared" si="1"/>
        <v>2.9937600000000013</v>
      </c>
      <c r="K23" s="7">
        <f t="shared" si="2"/>
        <v>5.6133000000000024</v>
      </c>
      <c r="M23" s="12" t="s">
        <v>63</v>
      </c>
      <c r="N23" s="2">
        <f>HMI!T21</f>
        <v>10</v>
      </c>
      <c r="O23" s="13" t="s">
        <v>6</v>
      </c>
    </row>
    <row r="24" spans="2:17" x14ac:dyDescent="0.35">
      <c r="B24" s="5">
        <v>3</v>
      </c>
      <c r="C24" s="5">
        <f t="shared" si="11"/>
        <v>22.454545454545457</v>
      </c>
      <c r="D24" s="6">
        <f t="shared" si="3"/>
        <v>2.6934285714285719</v>
      </c>
      <c r="E24" s="7">
        <f t="shared" si="12"/>
        <v>1.2252042007001165</v>
      </c>
      <c r="F24" s="6">
        <f t="shared" si="5"/>
        <v>3.5999999999999996</v>
      </c>
      <c r="G24" s="6">
        <f t="shared" si="6"/>
        <v>2740.428571428572</v>
      </c>
      <c r="H24" s="6">
        <f t="shared" si="7"/>
        <v>0.57036768701994323</v>
      </c>
      <c r="I24" s="7">
        <f t="shared" si="13"/>
        <v>24.948000000000004</v>
      </c>
      <c r="J24" s="7">
        <f t="shared" si="1"/>
        <v>1.9958400000000003</v>
      </c>
      <c r="K24" s="7">
        <f t="shared" si="2"/>
        <v>3.7422000000000009</v>
      </c>
      <c r="M24" s="12" t="s">
        <v>30</v>
      </c>
      <c r="N24" s="5">
        <f>(EXP(-N23))*100</f>
        <v>4.5399929762484853E-3</v>
      </c>
      <c r="O24" s="13" t="s">
        <v>31</v>
      </c>
    </row>
    <row r="25" spans="2:17" x14ac:dyDescent="0.35">
      <c r="B25" s="5">
        <v>4</v>
      </c>
      <c r="C25" s="5">
        <f t="shared" si="11"/>
        <v>29.939393939393941</v>
      </c>
      <c r="D25" s="6">
        <f t="shared" si="3"/>
        <v>3.5755714285714291</v>
      </c>
      <c r="E25" s="7">
        <f t="shared" si="12"/>
        <v>0.92292940189380301</v>
      </c>
      <c r="F25" s="6">
        <f t="shared" si="5"/>
        <v>3.5999999999999996</v>
      </c>
      <c r="G25" s="6">
        <f t="shared" si="6"/>
        <v>3622.5714285714294</v>
      </c>
      <c r="H25" s="6">
        <f t="shared" si="7"/>
        <v>0.42965010072611809</v>
      </c>
      <c r="I25" s="7">
        <f t="shared" si="13"/>
        <v>18.711000000000006</v>
      </c>
      <c r="J25" s="7">
        <f t="shared" si="1"/>
        <v>1.4968800000000007</v>
      </c>
      <c r="K25" s="7">
        <f t="shared" si="2"/>
        <v>2.8066500000000012</v>
      </c>
      <c r="M25" s="12" t="s">
        <v>30</v>
      </c>
      <c r="N25" s="5">
        <f>N24*R3/100</f>
        <v>0.18595811230713796</v>
      </c>
      <c r="O25" s="13" t="s">
        <v>27</v>
      </c>
    </row>
    <row r="26" spans="2:17" x14ac:dyDescent="0.35">
      <c r="B26" s="5">
        <v>5</v>
      </c>
      <c r="C26" s="5">
        <f t="shared" si="11"/>
        <v>37.424242424242429</v>
      </c>
      <c r="D26" s="6">
        <f t="shared" si="3"/>
        <v>4.4577142857142853</v>
      </c>
      <c r="E26" s="7">
        <f t="shared" si="12"/>
        <v>0.74028970644789127</v>
      </c>
      <c r="F26" s="6">
        <f t="shared" si="5"/>
        <v>3.5999999999999996</v>
      </c>
      <c r="G26" s="6">
        <f t="shared" si="6"/>
        <v>4504.7142857142844</v>
      </c>
      <c r="H26" s="6">
        <f t="shared" si="7"/>
        <v>0.34462608547218343</v>
      </c>
      <c r="I26" s="7">
        <f t="shared" si="13"/>
        <v>14.968800000000003</v>
      </c>
      <c r="J26" s="7">
        <f t="shared" si="1"/>
        <v>1.1975040000000003</v>
      </c>
      <c r="K26" s="7">
        <f t="shared" si="2"/>
        <v>2.2453200000000004</v>
      </c>
      <c r="M26" s="12" t="s">
        <v>30</v>
      </c>
      <c r="N26" s="30">
        <f>R4*N25*1000</f>
        <v>1.271198033349576</v>
      </c>
      <c r="O26" s="29" t="s">
        <v>52</v>
      </c>
    </row>
    <row r="27" spans="2:17" ht="15" thickBot="1" x14ac:dyDescent="0.4">
      <c r="B27" s="5">
        <v>6</v>
      </c>
      <c r="C27" s="5">
        <f t="shared" si="11"/>
        <v>44.909090909090914</v>
      </c>
      <c r="D27" s="6">
        <f t="shared" si="3"/>
        <v>5.3398571428571433</v>
      </c>
      <c r="E27" s="7">
        <f t="shared" si="12"/>
        <v>0.61799406083629838</v>
      </c>
      <c r="F27" s="6">
        <f t="shared" si="5"/>
        <v>3.5999999999999996</v>
      </c>
      <c r="G27" s="6">
        <f t="shared" si="6"/>
        <v>5386.8571428571431</v>
      </c>
      <c r="H27" s="6">
        <f t="shared" si="7"/>
        <v>0.28769395572578216</v>
      </c>
      <c r="I27" s="7">
        <f t="shared" si="13"/>
        <v>12.474000000000002</v>
      </c>
      <c r="J27" s="7">
        <f t="shared" si="1"/>
        <v>0.99792000000000014</v>
      </c>
      <c r="K27" s="7">
        <f t="shared" si="2"/>
        <v>1.8711000000000004</v>
      </c>
      <c r="M27" s="14" t="s">
        <v>37</v>
      </c>
      <c r="N27" s="19">
        <f>N26/N3</f>
        <v>5.0444366402760947E-2</v>
      </c>
      <c r="O27" s="15" t="s">
        <v>31</v>
      </c>
    </row>
    <row r="28" spans="2:17" x14ac:dyDescent="0.35">
      <c r="B28" s="5">
        <v>7</v>
      </c>
      <c r="C28" s="5">
        <f t="shared" si="11"/>
        <v>52.393939393939398</v>
      </c>
      <c r="D28" s="6">
        <f t="shared" si="3"/>
        <v>6.2220000000000004</v>
      </c>
      <c r="E28" s="7">
        <f t="shared" si="12"/>
        <v>0.53037608486017351</v>
      </c>
      <c r="F28" s="6">
        <f t="shared" si="5"/>
        <v>3.5999999999999996</v>
      </c>
      <c r="G28" s="6">
        <f t="shared" si="6"/>
        <v>6269</v>
      </c>
      <c r="H28" s="6">
        <f t="shared" si="7"/>
        <v>0.24690527554470332</v>
      </c>
      <c r="I28" s="7">
        <f t="shared" si="13"/>
        <v>10.692000000000002</v>
      </c>
      <c r="J28" s="7">
        <f t="shared" si="1"/>
        <v>0.85536000000000012</v>
      </c>
      <c r="K28" s="7">
        <f t="shared" si="2"/>
        <v>1.6038000000000001</v>
      </c>
    </row>
    <row r="29" spans="2:17" x14ac:dyDescent="0.35">
      <c r="B29" s="5">
        <v>8</v>
      </c>
      <c r="C29" s="5">
        <f t="shared" si="11"/>
        <v>59.878787878787882</v>
      </c>
      <c r="D29" s="6">
        <f t="shared" si="3"/>
        <v>7.1041428571428575</v>
      </c>
      <c r="E29" s="7">
        <f t="shared" si="12"/>
        <v>0.46451768585734676</v>
      </c>
      <c r="F29" s="6">
        <f t="shared" si="5"/>
        <v>3.5999999999999996</v>
      </c>
      <c r="G29" s="6">
        <f t="shared" si="6"/>
        <v>7151.1428571428578</v>
      </c>
      <c r="H29" s="6">
        <f t="shared" si="7"/>
        <v>0.21624630238038187</v>
      </c>
      <c r="I29" s="7">
        <f t="shared" si="13"/>
        <v>9.3555000000000028</v>
      </c>
      <c r="J29" s="7">
        <f t="shared" si="1"/>
        <v>0.74844000000000033</v>
      </c>
      <c r="K29" s="7">
        <f t="shared" si="2"/>
        <v>1.4033250000000006</v>
      </c>
      <c r="M29" t="s">
        <v>65</v>
      </c>
    </row>
    <row r="30" spans="2:17" x14ac:dyDescent="0.35">
      <c r="B30" s="5">
        <v>9</v>
      </c>
      <c r="C30" s="5">
        <f t="shared" si="11"/>
        <v>67.363636363636374</v>
      </c>
      <c r="D30" s="6">
        <f t="shared" si="3"/>
        <v>7.9862857142857138</v>
      </c>
      <c r="E30" s="7">
        <f t="shared" si="12"/>
        <v>0.41320835718374355</v>
      </c>
      <c r="F30" s="6">
        <f t="shared" si="5"/>
        <v>3.5999999999999996</v>
      </c>
      <c r="G30" s="6">
        <f t="shared" si="6"/>
        <v>8033.2857142857138</v>
      </c>
      <c r="H30" s="6">
        <f t="shared" si="7"/>
        <v>0.19236033863541094</v>
      </c>
      <c r="I30" s="7">
        <f t="shared" si="13"/>
        <v>8.3160000000000007</v>
      </c>
      <c r="J30" s="7">
        <f t="shared" si="1"/>
        <v>0.66528000000000009</v>
      </c>
      <c r="K30" s="7">
        <f t="shared" si="2"/>
        <v>1.2474000000000001</v>
      </c>
    </row>
    <row r="31" spans="2:17" x14ac:dyDescent="0.35">
      <c r="B31" s="5">
        <v>10</v>
      </c>
      <c r="C31" s="5">
        <f t="shared" si="11"/>
        <v>74.848484848484858</v>
      </c>
      <c r="D31" s="6">
        <f t="shared" si="3"/>
        <v>8.8684285714285718</v>
      </c>
      <c r="E31" s="7">
        <f t="shared" si="12"/>
        <v>0.37210650944763929</v>
      </c>
      <c r="F31" s="6">
        <f t="shared" si="5"/>
        <v>3.5999999999999996</v>
      </c>
      <c r="G31" s="6">
        <f t="shared" si="6"/>
        <v>8915.4285714285725</v>
      </c>
      <c r="H31" s="6">
        <f t="shared" si="7"/>
        <v>0.17322624995689379</v>
      </c>
      <c r="I31" s="7">
        <f t="shared" si="13"/>
        <v>7.4844000000000017</v>
      </c>
      <c r="J31" s="7">
        <f t="shared" si="1"/>
        <v>0.59875200000000017</v>
      </c>
      <c r="K31" s="7">
        <f t="shared" si="2"/>
        <v>1.1226600000000002</v>
      </c>
    </row>
    <row r="32" spans="2:17" x14ac:dyDescent="0.35">
      <c r="B32" s="5">
        <v>20</v>
      </c>
      <c r="C32" s="5">
        <f t="shared" si="11"/>
        <v>149.69696969696972</v>
      </c>
      <c r="D32" s="6">
        <f t="shared" si="3"/>
        <v>17.689857142857143</v>
      </c>
      <c r="E32" s="7">
        <f t="shared" si="12"/>
        <v>0.18654757770796823</v>
      </c>
      <c r="F32" s="6">
        <f t="shared" si="5"/>
        <v>3.5999999999999996</v>
      </c>
      <c r="G32" s="6">
        <f t="shared" si="6"/>
        <v>17736.857142857145</v>
      </c>
      <c r="H32" s="6">
        <f t="shared" si="7"/>
        <v>8.6843246501821139E-2</v>
      </c>
      <c r="I32" s="7">
        <f t="shared" si="13"/>
        <v>3.7422000000000009</v>
      </c>
      <c r="J32" s="7">
        <f t="shared" si="1"/>
        <v>0.29937600000000009</v>
      </c>
      <c r="K32" s="7">
        <f t="shared" si="2"/>
        <v>0.56133000000000011</v>
      </c>
    </row>
    <row r="33" spans="2:13" x14ac:dyDescent="0.35">
      <c r="B33" s="21">
        <v>0.39</v>
      </c>
      <c r="C33" s="21">
        <f t="shared" si="11"/>
        <v>2.9190909090909094</v>
      </c>
      <c r="D33" s="20">
        <f t="shared" si="3"/>
        <v>0.39103571428571426</v>
      </c>
      <c r="E33" s="20">
        <f t="shared" si="12"/>
        <v>8.4391268609005383</v>
      </c>
      <c r="F33" s="6">
        <f t="shared" si="5"/>
        <v>3.5999999999999996</v>
      </c>
      <c r="G33" s="6">
        <f t="shared" si="6"/>
        <v>438.03571428571422</v>
      </c>
      <c r="H33" s="6">
        <f t="shared" si="7"/>
        <v>3.9286555378843775</v>
      </c>
      <c r="I33" s="20">
        <f t="shared" si="13"/>
        <v>191.90769230769234</v>
      </c>
      <c r="J33" s="20">
        <f t="shared" si="1"/>
        <v>15.352615384615387</v>
      </c>
      <c r="K33" s="20">
        <f t="shared" si="2"/>
        <v>28.786153846153852</v>
      </c>
      <c r="M33">
        <f>$N$2*B33/(C33+B33)</f>
        <v>3.2999999999999994</v>
      </c>
    </row>
    <row r="34" spans="2:13" x14ac:dyDescent="0.35">
      <c r="B34" s="22"/>
      <c r="C34" s="22"/>
      <c r="D34" s="23"/>
      <c r="E34" s="23"/>
      <c r="F34" s="25"/>
      <c r="G34" s="25"/>
      <c r="H34" s="27"/>
      <c r="I34" s="23"/>
      <c r="J34" s="23"/>
      <c r="K34" s="23"/>
    </row>
    <row r="35" spans="2:13" x14ac:dyDescent="0.35">
      <c r="B35" s="21">
        <v>0.39</v>
      </c>
      <c r="C35" s="21">
        <v>5.6</v>
      </c>
      <c r="D35" s="20">
        <f t="shared" ref="D35" si="14">B35*C35/(B35+C35)+$N$17/1000</f>
        <v>0.41160767946577625</v>
      </c>
      <c r="E35" s="20">
        <f t="shared" ref="E35" si="15">$N$4/D35</f>
        <v>8.0173431270355664</v>
      </c>
      <c r="F35" s="24">
        <f t="shared" ref="F35" si="16">IF($N$9=0,$N$23*($N$8+$N$7)*D35,$N$23*(0.1)*D35)</f>
        <v>0.41160767946577625</v>
      </c>
      <c r="G35" s="6">
        <f t="shared" si="6"/>
        <v>458.60767946577624</v>
      </c>
      <c r="H35" s="6">
        <f t="shared" ref="H35" si="17">1/(2*PI()*($N$8+$N$7+$N$9)*D35)*1000</f>
        <v>3.7323031155128819</v>
      </c>
      <c r="I35" s="20">
        <f t="shared" ref="I35" si="18">$N$3*$N$3/(C35+B35)</f>
        <v>106.01669449081807</v>
      </c>
      <c r="J35" s="20">
        <f t="shared" ref="J35" si="19">I35*$R$10/1000</f>
        <v>8.481335559265446</v>
      </c>
      <c r="K35" s="20">
        <f t="shared" ref="K35" si="20">I35*$R$11/1000</f>
        <v>15.90250417362271</v>
      </c>
      <c r="M35">
        <f>$N$2*B35/(C35+B35)</f>
        <v>1.8230383973288817</v>
      </c>
    </row>
    <row r="36" spans="2:13" x14ac:dyDescent="0.35">
      <c r="G36" s="28"/>
    </row>
    <row r="37" spans="2:13" x14ac:dyDescent="0.35">
      <c r="F37" s="11" t="s">
        <v>38</v>
      </c>
      <c r="G37" s="11"/>
    </row>
    <row r="38" spans="2:13" x14ac:dyDescent="0.35">
      <c r="H38" s="11" t="s">
        <v>39</v>
      </c>
    </row>
    <row r="41" spans="2:13" x14ac:dyDescent="0.35">
      <c r="B41" s="51" t="s">
        <v>129</v>
      </c>
      <c r="C41" s="49" t="s">
        <v>136</v>
      </c>
      <c r="D41" s="51" t="s">
        <v>128</v>
      </c>
      <c r="E41" s="50" t="s">
        <v>138</v>
      </c>
      <c r="F41" s="50" t="s">
        <v>139</v>
      </c>
      <c r="G41" s="53" t="s">
        <v>141</v>
      </c>
      <c r="H41" s="53" t="s">
        <v>143</v>
      </c>
    </row>
    <row r="42" spans="2:13" x14ac:dyDescent="0.35">
      <c r="B42" s="41">
        <f>HMI!T16</f>
        <v>390</v>
      </c>
      <c r="C42" s="39"/>
      <c r="D42" s="9">
        <f>HMI!T17</f>
        <v>5600</v>
      </c>
      <c r="E42" s="6">
        <f>CAL_Vsense[[#This Row],[Rtop (Ω)]]*CAL_Vsense[[#This Row],[Rbot (Ω)]]/(CAL_Vsense[[#This Row],[Rbot (Ω)]]+CAL_Vsense[[#This Row],[Rtop (Ω)]])+Radc</f>
        <v>411.6076794657763</v>
      </c>
      <c r="F42" s="7" cm="1">
        <f t="array" ref="F42">DB_ADC[Vref,adc (V)]/CAL_Vsense[[#This Row],[Rth (Ω)]]*1000</f>
        <v>8.0173431270355664</v>
      </c>
      <c r="G42" s="52" t="e" cm="1">
        <f t="array" ref="G42">HMI!T20*#REF!/1000</f>
        <v>#REF!</v>
      </c>
      <c r="H42" s="52" t="e">
        <f>HMI!T21*CAL_Vsense[[#This Row],[R_CinToAdc (Ω)]]*HMI!T20</f>
        <v>#REF!</v>
      </c>
    </row>
  </sheetData>
  <mergeCells count="2">
    <mergeCell ref="M19:O19"/>
    <mergeCell ref="B2:K2"/>
  </mergeCells>
  <conditionalFormatting sqref="F4:F35">
    <cfRule type="cellIs" dxfId="3" priority="17" operator="between">
      <formula>0</formula>
      <formula>$N$22</formula>
    </cfRule>
  </conditionalFormatting>
  <conditionalFormatting sqref="G4:G36">
    <cfRule type="cellIs" dxfId="2" priority="4" operator="lessThan">
      <formula>$N$16</formula>
    </cfRule>
  </conditionalFormatting>
  <conditionalFormatting sqref="H4:H35">
    <cfRule type="cellIs" dxfId="1" priority="5" operator="greaterThan">
      <formula>$N$10/1000*$N$11</formula>
    </cfRule>
  </conditionalFormatting>
  <conditionalFormatting sqref="H42">
    <cfRule type="cellIs" dxfId="0" priority="3" operator="between">
      <formula>0</formula>
      <formula>$N$22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9A68B-708C-467B-9201-78BB9B5BE4BF}">
  <sheetPr>
    <tabColor rgb="FF00B0F0"/>
  </sheetPr>
  <dimension ref="B2:K26"/>
  <sheetViews>
    <sheetView workbookViewId="0">
      <selection activeCell="D29" sqref="D29"/>
    </sheetView>
  </sheetViews>
  <sheetFormatPr defaultRowHeight="14.5" x14ac:dyDescent="0.35"/>
  <cols>
    <col min="1" max="2" width="3.26953125" customWidth="1"/>
    <col min="3" max="3" width="27" customWidth="1"/>
    <col min="4" max="4" width="16.81640625" customWidth="1"/>
    <col min="5" max="5" width="3.7265625" customWidth="1"/>
    <col min="6" max="6" width="6.08984375" customWidth="1"/>
    <col min="7" max="7" width="25.81640625" bestFit="1" customWidth="1"/>
    <col min="8" max="8" width="7" customWidth="1"/>
    <col min="9" max="9" width="6.26953125" customWidth="1"/>
    <col min="10" max="10" width="23.26953125" bestFit="1" customWidth="1"/>
    <col min="11" max="11" width="7.7265625" customWidth="1"/>
    <col min="14" max="14" width="11.81640625" bestFit="1" customWidth="1"/>
  </cols>
  <sheetData>
    <row r="2" spans="2:11" x14ac:dyDescent="0.35">
      <c r="B2" s="125"/>
      <c r="C2" s="125"/>
      <c r="D2" s="125"/>
      <c r="E2" s="125"/>
      <c r="G2" s="100" t="str">
        <f>C12</f>
        <v>Rshunt (µΩ)</v>
      </c>
      <c r="H2" s="2">
        <f>D12</f>
        <v>850</v>
      </c>
      <c r="J2" s="100" t="str">
        <f>C18</f>
        <v>Vref,adc (V)</v>
      </c>
      <c r="K2" s="2">
        <f>D18</f>
        <v>3.3</v>
      </c>
    </row>
    <row r="3" spans="2:11" x14ac:dyDescent="0.35">
      <c r="B3" s="125"/>
      <c r="C3" s="96" t="s">
        <v>117</v>
      </c>
      <c r="D3" s="97"/>
      <c r="E3" s="126"/>
      <c r="G3" s="100" t="str">
        <f>C5</f>
        <v>Iph typ (A) @ 95% ToF</v>
      </c>
      <c r="H3" s="2">
        <f>D5</f>
        <v>12.5</v>
      </c>
      <c r="J3" s="100" t="str">
        <f>C16</f>
        <v>Resolution (bit)</v>
      </c>
      <c r="K3" s="2">
        <f>D16</f>
        <v>12</v>
      </c>
    </row>
    <row r="4" spans="2:11" x14ac:dyDescent="0.35">
      <c r="B4" s="125"/>
      <c r="C4" s="36" t="s">
        <v>103</v>
      </c>
      <c r="D4" s="2" t="str">
        <f>HMI!A3</f>
        <v>V1.0</v>
      </c>
      <c r="E4" s="127"/>
      <c r="H4" s="1"/>
      <c r="J4" s="100" t="str">
        <f>G10</f>
        <v>OpAmp gain</v>
      </c>
      <c r="K4" s="2">
        <f>H10</f>
        <v>64</v>
      </c>
    </row>
    <row r="5" spans="2:11" x14ac:dyDescent="0.35">
      <c r="B5" s="125"/>
      <c r="C5" s="36" t="str">
        <f>HMI!A13</f>
        <v>Iph typ (A) @ 95% ToF</v>
      </c>
      <c r="D5" s="2">
        <f>_xlfn.XLOOKUP(D4,DB_limits[Name],DB_limits[Iph typ (A)])</f>
        <v>12.5</v>
      </c>
      <c r="E5" s="127"/>
      <c r="G5" s="98" t="s">
        <v>276</v>
      </c>
      <c r="H5" s="2">
        <f>H3*H2/1000</f>
        <v>10.625</v>
      </c>
      <c r="J5" s="100" t="str">
        <f>C12</f>
        <v>Rshunt (µΩ)</v>
      </c>
      <c r="K5" s="2">
        <f>D12</f>
        <v>850</v>
      </c>
    </row>
    <row r="6" spans="2:11" x14ac:dyDescent="0.35">
      <c r="B6" s="125"/>
      <c r="C6" s="36" t="str">
        <f>HMI!A14</f>
        <v>Iph max (A@Xs) @ 4.9% ToF</v>
      </c>
      <c r="D6" s="2">
        <f>_xlfn.XLOOKUP(D4,DB_limits[Name],DB_limits[Iph max (A@Xs)])</f>
        <v>20</v>
      </c>
      <c r="E6" s="127"/>
      <c r="K6" s="1"/>
    </row>
    <row r="7" spans="2:11" x14ac:dyDescent="0.35">
      <c r="B7" s="125"/>
      <c r="C7" s="36" t="str">
        <f>HMI!A16</f>
        <v>Iph mean (A)</v>
      </c>
      <c r="D7" s="7">
        <f>_xlfn.XLOOKUP(D4,DB_limits[Name],DB_limits[Iph mean (A)])</f>
        <v>12.905000000000001</v>
      </c>
      <c r="E7" s="129"/>
      <c r="J7" s="98" t="s">
        <v>316</v>
      </c>
      <c r="K7" s="7">
        <f>K2/(2^K3-1)/K4/K5*10^9</f>
        <v>14.813617754794226</v>
      </c>
    </row>
    <row r="8" spans="2:11" x14ac:dyDescent="0.35">
      <c r="B8" s="125"/>
      <c r="C8" s="36" t="str">
        <f>HMI!A15</f>
        <v>Iph spike (A@Xms) @ 0.1% ToF</v>
      </c>
      <c r="D8" s="2">
        <f>_xlfn.XLOOKUP(D4,DB_limits[Name],DB_limits[Iph spike (A@Xms)])</f>
        <v>50</v>
      </c>
      <c r="E8" s="127"/>
    </row>
    <row r="9" spans="2:11" x14ac:dyDescent="0.35">
      <c r="B9" s="125"/>
      <c r="C9" s="36" t="str">
        <f>HMI!A5</f>
        <v>Dmax (%)</v>
      </c>
      <c r="D9" s="2">
        <f>_xlfn.XLOOKUP(D4,DB_limits[Name],DB_limits[Dmax (%)])</f>
        <v>90</v>
      </c>
      <c r="E9" s="127"/>
      <c r="G9" s="100" t="str">
        <f>G5</f>
        <v>Vshunt,typ (mV)</v>
      </c>
      <c r="H9" s="2">
        <f>H5</f>
        <v>10.625</v>
      </c>
    </row>
    <row r="10" spans="2:11" x14ac:dyDescent="0.35">
      <c r="B10" s="125"/>
      <c r="C10" s="125"/>
      <c r="D10" s="125"/>
      <c r="E10" s="125"/>
      <c r="G10" s="100" t="str">
        <f>C17</f>
        <v>OpAmp gain</v>
      </c>
      <c r="H10" s="2">
        <f>D17</f>
        <v>64</v>
      </c>
    </row>
    <row r="11" spans="2:11" x14ac:dyDescent="0.35">
      <c r="B11" s="125"/>
      <c r="C11" s="105" t="s">
        <v>273</v>
      </c>
      <c r="D11" s="106"/>
      <c r="E11" s="126"/>
      <c r="H11" s="1"/>
    </row>
    <row r="12" spans="2:11" x14ac:dyDescent="0.35">
      <c r="B12" s="125"/>
      <c r="C12" s="100" t="str">
        <f>HMI!J3</f>
        <v>Rshunt (µΩ)</v>
      </c>
      <c r="D12" s="95">
        <f>HMI!K3</f>
        <v>850</v>
      </c>
      <c r="E12" s="128"/>
      <c r="G12" s="98" t="s">
        <v>280</v>
      </c>
      <c r="H12" s="2">
        <f>H10*H9/1000</f>
        <v>0.68</v>
      </c>
      <c r="J12" s="100" t="str">
        <f>C12</f>
        <v>Rshunt (µΩ)</v>
      </c>
      <c r="K12" s="2">
        <f>D12</f>
        <v>850</v>
      </c>
    </row>
    <row r="13" spans="2:11" x14ac:dyDescent="0.35">
      <c r="B13" s="125"/>
      <c r="C13" s="125"/>
      <c r="D13" s="125"/>
      <c r="E13" s="125"/>
      <c r="J13" s="100" t="str">
        <f>C7</f>
        <v>Iph mean (A)</v>
      </c>
      <c r="K13" s="7">
        <f>D7</f>
        <v>12.905000000000001</v>
      </c>
    </row>
    <row r="14" spans="2:11" x14ac:dyDescent="0.35">
      <c r="B14" s="125"/>
      <c r="C14" s="105" t="s">
        <v>278</v>
      </c>
      <c r="D14" s="106"/>
      <c r="E14" s="126"/>
      <c r="J14" s="100" t="str">
        <f>C9</f>
        <v>Dmax (%)</v>
      </c>
      <c r="K14" s="7">
        <f>D9</f>
        <v>90</v>
      </c>
    </row>
    <row r="15" spans="2:11" x14ac:dyDescent="0.35">
      <c r="B15" s="125"/>
      <c r="C15" s="36" t="str">
        <f>DB_ADC[[#Headers],[Name]]</f>
        <v>Name</v>
      </c>
      <c r="D15" s="2" t="str">
        <f>HMI!J7</f>
        <v>STM32G4 internal</v>
      </c>
      <c r="E15" s="127"/>
    </row>
    <row r="16" spans="2:11" x14ac:dyDescent="0.35">
      <c r="B16" s="125"/>
      <c r="C16" s="36" t="str">
        <f>HMI!J10</f>
        <v>Resolution (bit)</v>
      </c>
      <c r="D16" s="2">
        <f>HMI!K10</f>
        <v>12</v>
      </c>
      <c r="E16" s="127"/>
      <c r="G16" s="100" t="str">
        <f>C8</f>
        <v>Iph spike (A@Xms) @ 0.1% ToF</v>
      </c>
      <c r="H16" s="2">
        <f>D8</f>
        <v>50</v>
      </c>
      <c r="J16" s="98" t="s">
        <v>282</v>
      </c>
      <c r="K16" s="7">
        <f>K12/10^3*K13^2*K14%*2/3</f>
        <v>84.934902750000006</v>
      </c>
    </row>
    <row r="17" spans="2:11" x14ac:dyDescent="0.35">
      <c r="B17" s="125"/>
      <c r="C17" s="36" t="str">
        <f>HMI!J11</f>
        <v>OpAmp gain</v>
      </c>
      <c r="D17" s="2">
        <f>HMI!K11</f>
        <v>64</v>
      </c>
      <c r="E17" s="127"/>
      <c r="G17" s="100" t="str">
        <f>C12</f>
        <v>Rshunt (µΩ)</v>
      </c>
      <c r="H17" s="2">
        <f>D12</f>
        <v>850</v>
      </c>
    </row>
    <row r="18" spans="2:11" x14ac:dyDescent="0.35">
      <c r="B18" s="125"/>
      <c r="C18" s="36" t="str">
        <f>DB_ADC[[#Headers],[Vref,adc (V)]]</f>
        <v>Vref,adc (V)</v>
      </c>
      <c r="D18" s="2">
        <f>_xlfn.XLOOKUP(D15,DB_ADC[Name],DB_ADC[Vref,adc (V)])</f>
        <v>3.3</v>
      </c>
      <c r="E18" s="127"/>
      <c r="H18" s="1"/>
    </row>
    <row r="19" spans="2:11" x14ac:dyDescent="0.35">
      <c r="B19" s="125"/>
      <c r="C19" s="125"/>
      <c r="D19" s="125"/>
      <c r="E19" s="125"/>
      <c r="G19" s="98" t="s">
        <v>277</v>
      </c>
      <c r="H19" s="6">
        <f>H17*H16/1000</f>
        <v>42.5</v>
      </c>
    </row>
    <row r="20" spans="2:11" x14ac:dyDescent="0.35">
      <c r="J20" s="100" t="str">
        <f>J12</f>
        <v>Rshunt (µΩ)</v>
      </c>
      <c r="K20" s="2">
        <f>K12</f>
        <v>850</v>
      </c>
    </row>
    <row r="21" spans="2:11" x14ac:dyDescent="0.35">
      <c r="J21" s="100" t="str">
        <f>C6</f>
        <v>Iph max (A@Xs) @ 4.9% ToF</v>
      </c>
      <c r="K21" s="7">
        <f>D6</f>
        <v>20</v>
      </c>
    </row>
    <row r="22" spans="2:11" x14ac:dyDescent="0.35">
      <c r="J22" s="100" t="str">
        <f>C9</f>
        <v>Dmax (%)</v>
      </c>
      <c r="K22" s="7">
        <f>D9</f>
        <v>90</v>
      </c>
    </row>
    <row r="23" spans="2:11" x14ac:dyDescent="0.35">
      <c r="G23" s="100" t="str">
        <f>G19</f>
        <v>Vshunt,spike (mV)</v>
      </c>
      <c r="H23" s="2">
        <f>H19</f>
        <v>42.5</v>
      </c>
    </row>
    <row r="24" spans="2:11" x14ac:dyDescent="0.35">
      <c r="G24" s="100" t="str">
        <f>C17</f>
        <v>OpAmp gain</v>
      </c>
      <c r="H24" s="2">
        <f>D17</f>
        <v>64</v>
      </c>
      <c r="J24" s="98" t="s">
        <v>283</v>
      </c>
      <c r="K24" s="7">
        <f>K20/10^3*K21^2*K22%*2/3</f>
        <v>204</v>
      </c>
    </row>
    <row r="25" spans="2:11" x14ac:dyDescent="0.35">
      <c r="H25" s="1"/>
    </row>
    <row r="26" spans="2:11" x14ac:dyDescent="0.35">
      <c r="G26" s="98" t="s">
        <v>281</v>
      </c>
      <c r="H26" s="2">
        <f>H24*H23/1000</f>
        <v>2.72</v>
      </c>
    </row>
  </sheetData>
  <mergeCells count="1">
    <mergeCell ref="C3:D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41C35-229E-4EAF-A7B5-5AC73EEBC6B9}">
  <sheetPr>
    <tabColor rgb="FF00B0F0"/>
  </sheetPr>
  <dimension ref="A1:N37"/>
  <sheetViews>
    <sheetView zoomScaleNormal="100" workbookViewId="0">
      <selection activeCell="I30" sqref="I30"/>
    </sheetView>
  </sheetViews>
  <sheetFormatPr defaultRowHeight="14.5" x14ac:dyDescent="0.35"/>
  <cols>
    <col min="1" max="1" width="20" customWidth="1"/>
    <col min="2" max="2" width="17.1796875" customWidth="1"/>
    <col min="3" max="3" width="8.453125" customWidth="1"/>
    <col min="4" max="4" width="14.81640625" customWidth="1"/>
    <col min="5" max="5" width="9.54296875" customWidth="1"/>
    <col min="6" max="6" width="14.54296875" customWidth="1"/>
    <col min="7" max="7" width="15.54296875" bestFit="1" customWidth="1"/>
    <col min="8" max="8" width="5.54296875" customWidth="1"/>
    <col min="9" max="9" width="17.6328125" customWidth="1"/>
    <col min="10" max="10" width="19.54296875" bestFit="1" customWidth="1"/>
    <col min="11" max="11" width="6.7265625" customWidth="1"/>
    <col min="12" max="12" width="5.6328125" customWidth="1"/>
    <col min="13" max="13" width="21.36328125" bestFit="1" customWidth="1"/>
    <col min="14" max="14" width="7.6328125" customWidth="1"/>
    <col min="15" max="15" width="5.1796875" customWidth="1"/>
    <col min="16" max="16" width="13.6328125" bestFit="1" customWidth="1"/>
    <col min="17" max="17" width="5.36328125" customWidth="1"/>
  </cols>
  <sheetData>
    <row r="1" spans="1:14" x14ac:dyDescent="0.35">
      <c r="A1" s="96" t="s">
        <v>117</v>
      </c>
      <c r="B1" s="97"/>
      <c r="C1" s="91"/>
    </row>
    <row r="2" spans="1:14" x14ac:dyDescent="0.35">
      <c r="A2" s="36" t="s">
        <v>103</v>
      </c>
      <c r="B2" s="2" t="str">
        <f>HMI!A3</f>
        <v>V1.0</v>
      </c>
      <c r="C2" s="91"/>
      <c r="D2" s="100" t="str">
        <f>A12</f>
        <v>Vdd (V)</v>
      </c>
      <c r="E2" s="2">
        <f>B12</f>
        <v>10</v>
      </c>
      <c r="G2" s="36" t="str">
        <f>D21</f>
        <v>Vboot,max (V)</v>
      </c>
      <c r="H2" s="6">
        <f>E21</f>
        <v>9.76</v>
      </c>
      <c r="J2" s="36" t="str">
        <f>G16</f>
        <v>Qbs (nC)</v>
      </c>
      <c r="K2" s="9">
        <f>H16</f>
        <v>83.240624999999994</v>
      </c>
      <c r="M2" s="36" t="str">
        <f>G13</f>
        <v>Dmax (%)</v>
      </c>
      <c r="N2" s="2">
        <f>H13</f>
        <v>90</v>
      </c>
    </row>
    <row r="3" spans="1:14" x14ac:dyDescent="0.35">
      <c r="A3" s="36" t="str">
        <f>HMI!A5</f>
        <v>Dmax (%)</v>
      </c>
      <c r="B3" s="2">
        <f>_xlfn.XLOOKUP(B2, DB_limits[Name], DB_limits[Dmax (%)])</f>
        <v>90</v>
      </c>
      <c r="C3" s="91"/>
      <c r="D3" s="100" t="str">
        <f>A10</f>
        <v>Vhbr (V)</v>
      </c>
      <c r="E3" s="2">
        <f>B10</f>
        <v>6</v>
      </c>
      <c r="G3" s="36" t="str">
        <f>A26</f>
        <v>Rpd,gate (kΩ)</v>
      </c>
      <c r="H3" s="2">
        <f>B26</f>
        <v>10</v>
      </c>
      <c r="J3" s="36" t="str">
        <f>D7</f>
        <v>ΔVboot,max (V)</v>
      </c>
      <c r="K3" s="2">
        <f>E7</f>
        <v>3.26</v>
      </c>
      <c r="M3" s="36" t="str">
        <f>G14</f>
        <v>Fmax (kHz)</v>
      </c>
      <c r="N3" s="2">
        <f>H14</f>
        <v>64</v>
      </c>
    </row>
    <row r="4" spans="1:14" x14ac:dyDescent="0.35">
      <c r="A4" s="36" t="str">
        <f>HMI!A6</f>
        <v>Fmax (kHz)</v>
      </c>
      <c r="B4" s="2">
        <f>_xlfn.XLOOKUP(B2,DB_limits[Name],DB_limits[Fmax (kHz)])</f>
        <v>64</v>
      </c>
      <c r="C4" s="91"/>
      <c r="D4" s="100" t="str">
        <f>A11</f>
        <v>Vhbh,max (V)</v>
      </c>
      <c r="E4" s="2">
        <f>B11</f>
        <v>0.5</v>
      </c>
      <c r="H4" s="1"/>
      <c r="K4" s="1"/>
      <c r="M4" s="36" t="str">
        <f>A5</f>
        <v>t_blank@V_sw=0 (ns)</v>
      </c>
      <c r="N4" s="2">
        <f>B5</f>
        <v>300</v>
      </c>
    </row>
    <row r="5" spans="1:14" x14ac:dyDescent="0.35">
      <c r="A5" s="100" t="str">
        <f>HMI!A19</f>
        <v>t_blank@V_sw=0 (ns)</v>
      </c>
      <c r="B5" s="95">
        <f>HMI!B19</f>
        <v>300</v>
      </c>
      <c r="C5" s="91"/>
      <c r="D5" s="100" t="s">
        <v>232</v>
      </c>
      <c r="E5" s="2">
        <f>B23</f>
        <v>0.24</v>
      </c>
      <c r="G5" s="98" t="s">
        <v>238</v>
      </c>
      <c r="H5" s="9">
        <f>H2/H3</f>
        <v>0.97599999999999998</v>
      </c>
      <c r="J5" s="18" t="s">
        <v>160</v>
      </c>
      <c r="K5" s="6">
        <f>K2/K3</f>
        <v>25.533934049079754</v>
      </c>
    </row>
    <row r="6" spans="1:14" x14ac:dyDescent="0.35">
      <c r="C6" s="91"/>
      <c r="E6" s="1"/>
      <c r="H6" s="1"/>
      <c r="M6" s="18" t="s">
        <v>244</v>
      </c>
      <c r="N6" s="6">
        <f>((1-N2%)/N3)*1000-N4/1000</f>
        <v>1.2624999999999995</v>
      </c>
    </row>
    <row r="7" spans="1:14" x14ac:dyDescent="0.35">
      <c r="A7" s="96" t="s">
        <v>229</v>
      </c>
      <c r="B7" s="97"/>
      <c r="C7" s="91"/>
      <c r="D7" s="98" t="s">
        <v>246</v>
      </c>
      <c r="E7" s="2">
        <f>E2-E3-E4-E5</f>
        <v>3.26</v>
      </c>
      <c r="F7" s="89"/>
    </row>
    <row r="8" spans="1:14" x14ac:dyDescent="0.35">
      <c r="A8" s="100" t="s">
        <v>230</v>
      </c>
      <c r="B8" s="95" t="str">
        <f>HMI!G2</f>
        <v>Infineon 2EDL8024</v>
      </c>
      <c r="C8" s="91"/>
      <c r="D8" s="92"/>
      <c r="E8" s="90"/>
      <c r="F8" s="89"/>
    </row>
    <row r="9" spans="1:14" x14ac:dyDescent="0.35">
      <c r="A9" s="100" t="s">
        <v>161</v>
      </c>
      <c r="B9" s="94">
        <f>_xlfn.XLOOKUP(B8, DB_GD[Part], DB_GD[Vfint,100mA (V)])</f>
        <v>2.15</v>
      </c>
      <c r="C9" s="91"/>
      <c r="D9" s="91"/>
      <c r="E9" s="90"/>
      <c r="F9" s="89"/>
      <c r="G9" s="36" t="str">
        <f>A33</f>
        <v>Qg,typ @ 10V (nC)</v>
      </c>
      <c r="H9" s="2">
        <f>B33</f>
        <v>41</v>
      </c>
    </row>
    <row r="10" spans="1:14" x14ac:dyDescent="0.35">
      <c r="A10" s="100" t="s">
        <v>98</v>
      </c>
      <c r="B10" s="95">
        <f>_xlfn.XLOOKUP(B8, DB_GD[Part], DB_GD[Vhbr (V)])</f>
        <v>6</v>
      </c>
      <c r="C10" s="91"/>
      <c r="D10" s="91"/>
      <c r="E10" s="93"/>
      <c r="G10" s="36" t="str">
        <f>A13</f>
        <v>Ihb (mA)</v>
      </c>
      <c r="H10" s="2">
        <f>B13</f>
        <v>0.7</v>
      </c>
      <c r="J10" s="36" t="str">
        <f>A19</f>
        <v>Safety margin on Cboot</v>
      </c>
      <c r="K10" s="2">
        <f>B19</f>
        <v>3</v>
      </c>
    </row>
    <row r="11" spans="1:14" x14ac:dyDescent="0.35">
      <c r="A11" s="100" t="str">
        <f>DB_GD[[#Headers],[Vhbh,max (V)]]</f>
        <v>Vhbh,max (V)</v>
      </c>
      <c r="B11" s="95">
        <f>_xlfn.XLOOKUP(B8, DB_GD[Part], DB_GD[Vhbh,max (V)])</f>
        <v>0.5</v>
      </c>
      <c r="C11" s="91"/>
      <c r="D11" s="100" t="str">
        <f>D2</f>
        <v>Vdd (V)</v>
      </c>
      <c r="E11" s="2">
        <f>E2</f>
        <v>10</v>
      </c>
      <c r="G11" s="36" t="str">
        <f>A14</f>
        <v>Ihbs (mA)</v>
      </c>
      <c r="H11" s="6">
        <f>B14</f>
        <v>1.25</v>
      </c>
      <c r="J11" s="36" t="str">
        <f>A18</f>
        <v>Expected derating (%)</v>
      </c>
      <c r="K11" s="2">
        <f>B18</f>
        <v>40</v>
      </c>
      <c r="M11" s="36" t="str">
        <f>A29</f>
        <v>Rboot,ext (Ω)</v>
      </c>
      <c r="N11" s="2">
        <f>B29</f>
        <v>3</v>
      </c>
    </row>
    <row r="12" spans="1:14" x14ac:dyDescent="0.35">
      <c r="A12" s="100" t="str">
        <f>HMI!G4</f>
        <v>Vdd (V)</v>
      </c>
      <c r="B12" s="95">
        <f>HMI!H4</f>
        <v>10</v>
      </c>
      <c r="C12" s="91"/>
      <c r="D12" s="100" t="str">
        <f>D7</f>
        <v>ΔVboot,max (V)</v>
      </c>
      <c r="E12" s="2">
        <f>E7</f>
        <v>3.26</v>
      </c>
      <c r="F12" s="91"/>
      <c r="G12" s="36" t="str">
        <f>G5</f>
        <v>Ipd (mA)</v>
      </c>
      <c r="H12" s="7">
        <f>H5</f>
        <v>0.97599999999999998</v>
      </c>
      <c r="K12" s="1"/>
      <c r="M12" s="36" t="str">
        <f>A15</f>
        <v>Rboot,int (Ω)</v>
      </c>
      <c r="N12" s="2">
        <f>B15</f>
        <v>21.5</v>
      </c>
    </row>
    <row r="13" spans="1:14" x14ac:dyDescent="0.35">
      <c r="A13" s="100" t="str">
        <f>DB_GD[[#Headers],[Ihb (mA)]]</f>
        <v>Ihb (mA)</v>
      </c>
      <c r="B13" s="95">
        <f>_xlfn.XLOOKUP(B8, DB_GD[Part], DB_GD[Ihb (mA)])</f>
        <v>0.7</v>
      </c>
      <c r="C13" s="91"/>
      <c r="E13" s="1"/>
      <c r="F13" s="91"/>
      <c r="G13" s="36" t="str">
        <f>A3</f>
        <v>Dmax (%)</v>
      </c>
      <c r="H13" s="2">
        <f>B3</f>
        <v>90</v>
      </c>
      <c r="J13" s="18" t="s">
        <v>301</v>
      </c>
      <c r="K13" s="9">
        <f>K5/(1-K11%)*K10</f>
        <v>127.66967024539878</v>
      </c>
    </row>
    <row r="14" spans="1:14" x14ac:dyDescent="0.35">
      <c r="A14" s="100" t="str">
        <f>DB_GD[[#Headers],[Ihbs (mA)]]</f>
        <v>Ihbs (mA)</v>
      </c>
      <c r="B14" s="95">
        <f>_xlfn.XLOOKUP(B8, DB_GD[Part], DB_GD[Ihbs (mA)])</f>
        <v>1.25</v>
      </c>
      <c r="D14" s="98" t="s">
        <v>247</v>
      </c>
      <c r="E14" s="2">
        <f>E11-E12</f>
        <v>6.74</v>
      </c>
      <c r="G14" s="36" t="str">
        <f>A4</f>
        <v>Fmax (kHz)</v>
      </c>
      <c r="H14" s="2">
        <f>B4</f>
        <v>64</v>
      </c>
      <c r="J14" s="18" t="s">
        <v>242</v>
      </c>
      <c r="K14" s="9">
        <f>_xlfn.MINIFS(J20:J31,J20:J31,"&gt;="&amp;K13)</f>
        <v>150</v>
      </c>
      <c r="M14" s="18" t="s">
        <v>249</v>
      </c>
      <c r="N14" s="7">
        <f>N12*N11/(N11+N12)</f>
        <v>2.6326530612244898</v>
      </c>
    </row>
    <row r="15" spans="1:14" x14ac:dyDescent="0.35">
      <c r="A15" s="100" t="str">
        <f>DB_GD[[#Headers],[Rboot,int (Ω)]]</f>
        <v>Rboot,int (Ω)</v>
      </c>
      <c r="B15" s="95">
        <f>_xlfn.XLOOKUP(B8, DB_GD[Part], DB_GD[Rboot,int (Ω)])</f>
        <v>21.5</v>
      </c>
    </row>
    <row r="16" spans="1:14" x14ac:dyDescent="0.35">
      <c r="G16" s="98" t="s">
        <v>250</v>
      </c>
      <c r="H16" s="9">
        <f>H9+(H10+(H11+H12)*H13%)/H14*10^3</f>
        <v>83.240624999999994</v>
      </c>
    </row>
    <row r="17" spans="1:14" x14ac:dyDescent="0.35">
      <c r="A17" s="96" t="s">
        <v>240</v>
      </c>
      <c r="B17" s="97"/>
    </row>
    <row r="18" spans="1:14" ht="15" thickBot="1" x14ac:dyDescent="0.4">
      <c r="A18" s="100" t="str">
        <f>HMI!G15</f>
        <v>Expected derating (%)</v>
      </c>
      <c r="B18" s="95">
        <f>HMI!H15</f>
        <v>40</v>
      </c>
      <c r="D18" s="36" t="str">
        <f>D2</f>
        <v>Vdd (V)</v>
      </c>
      <c r="E18" s="2">
        <f>E2</f>
        <v>10</v>
      </c>
    </row>
    <row r="19" spans="1:14" x14ac:dyDescent="0.35">
      <c r="A19" s="36" t="str">
        <f>HMI!G16</f>
        <v>Safety margin on Cboot</v>
      </c>
      <c r="B19" s="2">
        <f>HMI!H16</f>
        <v>3</v>
      </c>
      <c r="D19" s="36" t="str">
        <f>D5</f>
        <v>Vf (V)</v>
      </c>
      <c r="E19" s="2">
        <f>E5</f>
        <v>0.24</v>
      </c>
      <c r="J19" s="107" t="s">
        <v>256</v>
      </c>
      <c r="K19" s="108"/>
      <c r="M19" s="100" t="str">
        <f>D21</f>
        <v>Vboot,max (V)</v>
      </c>
      <c r="N19" s="7">
        <f>E21</f>
        <v>9.76</v>
      </c>
    </row>
    <row r="20" spans="1:14" x14ac:dyDescent="0.35">
      <c r="J20" s="110">
        <v>47</v>
      </c>
      <c r="K20" s="111"/>
      <c r="M20" s="100" t="str">
        <f>D14</f>
        <v>Vboot,min (V)</v>
      </c>
      <c r="N20" s="7">
        <f>E14</f>
        <v>6.74</v>
      </c>
    </row>
    <row r="21" spans="1:14" x14ac:dyDescent="0.35">
      <c r="A21" s="96" t="s">
        <v>234</v>
      </c>
      <c r="B21" s="97"/>
      <c r="D21" s="18" t="s">
        <v>245</v>
      </c>
      <c r="E21" s="6">
        <f>E18-E19</f>
        <v>9.76</v>
      </c>
      <c r="J21" s="110">
        <v>56</v>
      </c>
      <c r="K21" s="111"/>
      <c r="M21" s="100" t="str">
        <f>M6</f>
        <v>t_recharge (µs)</v>
      </c>
      <c r="N21" s="7">
        <f>N6</f>
        <v>1.2624999999999995</v>
      </c>
    </row>
    <row r="22" spans="1:14" x14ac:dyDescent="0.35">
      <c r="A22" s="100" t="s">
        <v>230</v>
      </c>
      <c r="B22" s="95" t="str">
        <f>HMI!G7</f>
        <v>Rohm RB161QS-40</v>
      </c>
      <c r="J22" s="110">
        <v>68</v>
      </c>
      <c r="K22" s="111"/>
      <c r="M22" s="100" t="str">
        <f>M14</f>
        <v>Req (Ω)</v>
      </c>
      <c r="N22" s="7">
        <f>N14</f>
        <v>2.6326530612244898</v>
      </c>
    </row>
    <row r="23" spans="1:14" x14ac:dyDescent="0.35">
      <c r="A23" s="100" t="str">
        <f>DB_diode[[#Headers],[Vf@100mA (V)]]</f>
        <v>Vf@100mA (V)</v>
      </c>
      <c r="B23" s="95">
        <f>_xlfn.XLOOKUP(B22, DB_diode[Ref], DB_diode[Vf@100mA (V)])</f>
        <v>0.24</v>
      </c>
      <c r="J23" s="110">
        <v>82</v>
      </c>
      <c r="K23" s="111"/>
      <c r="M23" s="100" t="str">
        <f>J14</f>
        <v>Cboot (nF)</v>
      </c>
      <c r="N23" s="9">
        <f>K14</f>
        <v>150</v>
      </c>
    </row>
    <row r="24" spans="1:14" x14ac:dyDescent="0.35">
      <c r="J24" s="110">
        <v>100</v>
      </c>
      <c r="K24" s="111"/>
    </row>
    <row r="25" spans="1:14" x14ac:dyDescent="0.35">
      <c r="A25" s="96" t="s">
        <v>243</v>
      </c>
      <c r="B25" s="97"/>
      <c r="J25" s="110">
        <v>120</v>
      </c>
      <c r="K25" s="111"/>
      <c r="M25" s="98" t="s">
        <v>248</v>
      </c>
      <c r="N25" s="6">
        <f>N19-(N19-N20)*EXP(-N21/N22/N23*10^3)</f>
        <v>9.6365317933866681</v>
      </c>
    </row>
    <row r="26" spans="1:14" x14ac:dyDescent="0.35">
      <c r="A26" s="100" t="str">
        <f>HMI!G11</f>
        <v>Rpd,gate (kΩ)</v>
      </c>
      <c r="B26" s="95">
        <f>HMI!H11</f>
        <v>10</v>
      </c>
      <c r="J26" s="110">
        <v>150</v>
      </c>
      <c r="K26" s="111"/>
      <c r="N26" s="1"/>
    </row>
    <row r="27" spans="1:14" x14ac:dyDescent="0.35">
      <c r="J27" s="110">
        <v>180</v>
      </c>
      <c r="K27" s="111"/>
    </row>
    <row r="28" spans="1:14" x14ac:dyDescent="0.35">
      <c r="A28" s="96" t="s">
        <v>253</v>
      </c>
      <c r="B28" s="97"/>
      <c r="J28" s="110">
        <v>220</v>
      </c>
      <c r="K28" s="111"/>
    </row>
    <row r="29" spans="1:14" x14ac:dyDescent="0.35">
      <c r="A29" s="100" t="str">
        <f>HMI!G17</f>
        <v>Rboot,ext (Ω)</v>
      </c>
      <c r="B29" s="95">
        <f>HMI!H17</f>
        <v>3</v>
      </c>
      <c r="J29" s="110">
        <v>470</v>
      </c>
      <c r="K29" s="111"/>
    </row>
    <row r="30" spans="1:14" x14ac:dyDescent="0.35">
      <c r="J30" s="110">
        <v>680</v>
      </c>
      <c r="K30" s="111"/>
    </row>
    <row r="31" spans="1:14" ht="15" thickBot="1" x14ac:dyDescent="0.4">
      <c r="A31" s="96" t="s">
        <v>102</v>
      </c>
      <c r="B31" s="97"/>
      <c r="J31" s="112">
        <v>1000</v>
      </c>
      <c r="K31" s="113"/>
    </row>
    <row r="32" spans="1:14" x14ac:dyDescent="0.35">
      <c r="A32" s="100" t="s">
        <v>230</v>
      </c>
      <c r="B32" s="95" t="str">
        <f>HMI!D3</f>
        <v>TI CSD18540Q5B</v>
      </c>
    </row>
    <row r="33" spans="1:2" x14ac:dyDescent="0.35">
      <c r="A33" s="100" t="str">
        <f>HMI!D5</f>
        <v>Qg,typ @ 10V (nC)</v>
      </c>
      <c r="B33" s="95">
        <f>_xlfn.XLOOKUP(B32, DB_Mostfet[Part],DB_Mostfet[Qg,typ @ 10V (nC)])</f>
        <v>41</v>
      </c>
    </row>
    <row r="35" spans="1:2" x14ac:dyDescent="0.35">
      <c r="A35" s="101"/>
      <c r="B35" t="s">
        <v>236</v>
      </c>
    </row>
    <row r="36" spans="1:2" x14ac:dyDescent="0.35">
      <c r="A36" s="99"/>
      <c r="B36" t="s">
        <v>235</v>
      </c>
    </row>
    <row r="37" spans="1:2" x14ac:dyDescent="0.35">
      <c r="A37" s="102"/>
      <c r="B37" t="s">
        <v>239</v>
      </c>
    </row>
  </sheetData>
  <mergeCells count="20">
    <mergeCell ref="J31:K31"/>
    <mergeCell ref="J19:K19"/>
    <mergeCell ref="J20:K20"/>
    <mergeCell ref="J21:K21"/>
    <mergeCell ref="J24:K24"/>
    <mergeCell ref="J25:K25"/>
    <mergeCell ref="J26:K26"/>
    <mergeCell ref="A25:B25"/>
    <mergeCell ref="A28:B28"/>
    <mergeCell ref="A31:B31"/>
    <mergeCell ref="J22:K22"/>
    <mergeCell ref="J23:K23"/>
    <mergeCell ref="J27:K27"/>
    <mergeCell ref="J28:K28"/>
    <mergeCell ref="J29:K29"/>
    <mergeCell ref="J30:K30"/>
    <mergeCell ref="A1:B1"/>
    <mergeCell ref="A7:B7"/>
    <mergeCell ref="A17:B17"/>
    <mergeCell ref="A21:B2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7F3BC-1B95-4392-8B66-8FBCE9C76508}">
  <sheetPr>
    <tabColor rgb="FF00B0F0"/>
  </sheetPr>
  <dimension ref="A1:P27"/>
  <sheetViews>
    <sheetView workbookViewId="0">
      <selection activeCell="F28" sqref="F28"/>
    </sheetView>
  </sheetViews>
  <sheetFormatPr defaultRowHeight="14.5" x14ac:dyDescent="0.35"/>
  <cols>
    <col min="1" max="1" width="19.81640625" bestFit="1" customWidth="1"/>
    <col min="2" max="2" width="18.26953125" customWidth="1"/>
    <col min="4" max="4" width="15.90625" bestFit="1" customWidth="1"/>
    <col min="5" max="5" width="6.36328125" customWidth="1"/>
    <col min="6" max="6" width="15" customWidth="1"/>
    <col min="7" max="7" width="19.81640625" bestFit="1" customWidth="1"/>
    <col min="8" max="8" width="6.36328125" customWidth="1"/>
    <col min="10" max="10" width="11.90625" bestFit="1" customWidth="1"/>
    <col min="11" max="11" width="6.1796875" customWidth="1"/>
    <col min="15" max="15" width="15.08984375" bestFit="1" customWidth="1"/>
    <col min="16" max="16" width="6.6328125" customWidth="1"/>
  </cols>
  <sheetData>
    <row r="1" spans="1:16" x14ac:dyDescent="0.35">
      <c r="A1" s="96" t="s">
        <v>117</v>
      </c>
      <c r="B1" s="97"/>
    </row>
    <row r="2" spans="1:16" x14ac:dyDescent="0.35">
      <c r="A2" s="36" t="s">
        <v>103</v>
      </c>
      <c r="B2" s="2" t="str">
        <f>HMI!A3</f>
        <v>V1.0</v>
      </c>
      <c r="D2" s="100" t="str">
        <f>A7</f>
        <v>Rg,off (Ω)</v>
      </c>
      <c r="E2" s="2">
        <f>B7</f>
        <v>10</v>
      </c>
      <c r="G2" s="100" t="str">
        <f>A16</f>
        <v>Vboot,max (V)</v>
      </c>
      <c r="H2" s="7">
        <f>B16</f>
        <v>9.76</v>
      </c>
      <c r="J2" s="100" t="str">
        <f>A3</f>
        <v>Dmax (%)</v>
      </c>
      <c r="K2" s="2">
        <f>B3</f>
        <v>90</v>
      </c>
      <c r="O2" s="100" t="str">
        <f>J16</f>
        <v>Rg,mean (Ω)</v>
      </c>
      <c r="P2" s="6">
        <f>K16</f>
        <v>2.4638741721854305</v>
      </c>
    </row>
    <row r="3" spans="1:16" x14ac:dyDescent="0.35">
      <c r="A3" s="36" t="str">
        <f>HMI!A5</f>
        <v>Dmax (%)</v>
      </c>
      <c r="B3" s="2">
        <f>_xlfn.XLOOKUP(B2, DB_limits[Name], DB_limits[Dmax (%)])</f>
        <v>90</v>
      </c>
      <c r="D3" s="100" t="str">
        <f>A8</f>
        <v>Rg,on+off (Ω)</v>
      </c>
      <c r="E3" s="2">
        <f>B8</f>
        <v>5.0999999999999996</v>
      </c>
      <c r="G3" s="100" t="str">
        <f>D14</f>
        <v>Req,on (Ω)</v>
      </c>
      <c r="H3" s="2">
        <f>E14</f>
        <v>6.1</v>
      </c>
      <c r="J3" s="100" t="str">
        <f>D10</f>
        <v>Rpu,hs (Ω)</v>
      </c>
      <c r="K3" s="2">
        <f>E10</f>
        <v>1</v>
      </c>
      <c r="O3" s="100" t="str">
        <f>J8</f>
        <v>Rgd,mean (Ω)</v>
      </c>
      <c r="P3" s="6">
        <f>K8</f>
        <v>0.47125</v>
      </c>
    </row>
    <row r="4" spans="1:16" x14ac:dyDescent="0.35">
      <c r="A4" s="36" t="str">
        <f>HMI!A6</f>
        <v>Fmax (kHz)</v>
      </c>
      <c r="B4" s="2">
        <f>_xlfn.XLOOKUP(B2,DB_limits[Name],DB_limits[Fmax (kHz)])</f>
        <v>64</v>
      </c>
      <c r="E4" s="1"/>
      <c r="H4" s="1"/>
      <c r="J4" s="100" t="str">
        <f>D11</f>
        <v>Rpu,ls (Ω)</v>
      </c>
      <c r="K4" s="2">
        <f>E11</f>
        <v>1</v>
      </c>
      <c r="O4" s="100" t="str">
        <f>G27</f>
        <v>Pg,loss (mW)</v>
      </c>
      <c r="P4" s="7">
        <f>H27</f>
        <v>76.830719999999985</v>
      </c>
    </row>
    <row r="5" spans="1:16" x14ac:dyDescent="0.35">
      <c r="D5" s="98" t="s">
        <v>266</v>
      </c>
      <c r="E5" s="7">
        <f>E2*E3/(E3+E2)</f>
        <v>3.3774834437086092</v>
      </c>
      <c r="G5" s="98" t="s">
        <v>261</v>
      </c>
      <c r="H5" s="7">
        <f>H2/H3</f>
        <v>1.6</v>
      </c>
      <c r="J5" s="100" t="str">
        <f>D18</f>
        <v>Rpd,hs (Ω)</v>
      </c>
      <c r="K5" s="2">
        <f>E18</f>
        <v>0.5</v>
      </c>
      <c r="P5" s="1"/>
    </row>
    <row r="6" spans="1:16" x14ac:dyDescent="0.35">
      <c r="A6" s="105" t="s">
        <v>258</v>
      </c>
      <c r="B6" s="106"/>
      <c r="J6" s="100" t="str">
        <f>D19</f>
        <v>Rpd,ls (Ω)</v>
      </c>
      <c r="K6" s="2">
        <f>E19</f>
        <v>0.35</v>
      </c>
      <c r="O6" s="98" t="s">
        <v>268</v>
      </c>
      <c r="P6" s="7">
        <f>P4*P2/(P2+P3)</f>
        <v>64.495133947761033</v>
      </c>
    </row>
    <row r="7" spans="1:16" x14ac:dyDescent="0.35">
      <c r="A7" s="36" t="str">
        <f>HMI!G28</f>
        <v>Rg,off (Ω)</v>
      </c>
      <c r="B7" s="2">
        <f>HMI!H28</f>
        <v>10</v>
      </c>
    </row>
    <row r="8" spans="1:16" x14ac:dyDescent="0.35">
      <c r="A8" s="36" t="str">
        <f>HMI!G29</f>
        <v>Rg,on+off (Ω)</v>
      </c>
      <c r="B8" s="2">
        <f>HMI!H29</f>
        <v>5.0999999999999996</v>
      </c>
      <c r="J8" s="98" t="s">
        <v>265</v>
      </c>
      <c r="K8" s="7">
        <f>(K2%*(K4+K3)+(1-K2%)*(K5+K6))/4</f>
        <v>0.47125</v>
      </c>
    </row>
    <row r="9" spans="1:16" x14ac:dyDescent="0.35">
      <c r="G9" s="100" t="str">
        <f>A16</f>
        <v>Vboot,max (V)</v>
      </c>
      <c r="H9" s="7">
        <f>B16</f>
        <v>9.76</v>
      </c>
    </row>
    <row r="10" spans="1:16" x14ac:dyDescent="0.35">
      <c r="A10" s="105" t="s">
        <v>259</v>
      </c>
      <c r="B10" s="106"/>
      <c r="D10" s="100" t="str">
        <f>A12</f>
        <v>Rpu,hs (Ω)</v>
      </c>
      <c r="E10" s="2">
        <f>B12</f>
        <v>1</v>
      </c>
      <c r="G10" s="100" t="str">
        <f>D22</f>
        <v>Req,off</v>
      </c>
      <c r="H10" s="7">
        <f>E22</f>
        <v>3.802483443708609</v>
      </c>
    </row>
    <row r="11" spans="1:16" x14ac:dyDescent="0.35">
      <c r="A11" s="100" t="s">
        <v>230</v>
      </c>
      <c r="B11" s="95" t="str">
        <f>HMI!G2</f>
        <v>Infineon 2EDL8024</v>
      </c>
      <c r="D11" s="100" t="str">
        <f>A13</f>
        <v>Rpu,ls (Ω)</v>
      </c>
      <c r="E11" s="2">
        <f>B13</f>
        <v>1</v>
      </c>
      <c r="H11" s="1"/>
      <c r="O11" s="100" t="str">
        <f>G27</f>
        <v>Pg,loss (mW)</v>
      </c>
      <c r="P11" s="7">
        <f>H27</f>
        <v>76.830719999999985</v>
      </c>
    </row>
    <row r="12" spans="1:16" x14ac:dyDescent="0.35">
      <c r="A12" s="36" t="str">
        <f>DB_GD[[#Headers],[Rpu,hs (Ω)]]</f>
        <v>Rpu,hs (Ω)</v>
      </c>
      <c r="B12" s="2">
        <f>_xlfn.XLOOKUP(B11, DB_GD[Part], DB_GD[Rpu,hs (Ω)])</f>
        <v>1</v>
      </c>
      <c r="D12" s="100" t="str">
        <f>A8</f>
        <v>Rg,on+off (Ω)</v>
      </c>
      <c r="E12" s="2">
        <f>B8</f>
        <v>5.0999999999999996</v>
      </c>
      <c r="G12" s="98" t="s">
        <v>262</v>
      </c>
      <c r="H12" s="7">
        <f>H9/H10</f>
        <v>2.566743588627161</v>
      </c>
      <c r="J12" s="100" t="str">
        <f>J2</f>
        <v>Dmax (%)</v>
      </c>
      <c r="K12" s="2">
        <f>K2</f>
        <v>90</v>
      </c>
      <c r="O12" s="100" t="str">
        <f>O6</f>
        <v>Prg,mean (mW)</v>
      </c>
      <c r="P12" s="7">
        <f>P6</f>
        <v>64.495133947761033</v>
      </c>
    </row>
    <row r="13" spans="1:16" x14ac:dyDescent="0.35">
      <c r="A13" s="36" t="str">
        <f>DB_GD[[#Headers],[Rpu,ls (Ω)]]</f>
        <v>Rpu,ls (Ω)</v>
      </c>
      <c r="B13" s="2">
        <f>_xlfn.XLOOKUP(B11, DB_GD[Part], DB_GD[Rpu,ls (Ω)])</f>
        <v>1</v>
      </c>
      <c r="J13" s="100" t="str">
        <f>D3</f>
        <v>Rg,on+off (Ω)</v>
      </c>
      <c r="K13" s="2">
        <f>E3</f>
        <v>5.0999999999999996</v>
      </c>
      <c r="P13" s="1"/>
    </row>
    <row r="14" spans="1:16" x14ac:dyDescent="0.35">
      <c r="A14" s="36" t="str">
        <f>DB_GD[[#Headers],[Rpd,hs (Ω)]]</f>
        <v>Rpd,hs (Ω)</v>
      </c>
      <c r="B14" s="2">
        <f>_xlfn.XLOOKUP(B11, DB_GD[Part], DB_GD[Rpd,hs (Ω)])</f>
        <v>0.5</v>
      </c>
      <c r="D14" s="98" t="s">
        <v>260</v>
      </c>
      <c r="E14" s="2">
        <f>(E11+E10)/2+E12</f>
        <v>6.1</v>
      </c>
      <c r="J14" s="100" t="str">
        <f>D5</f>
        <v>Rg,eq,off</v>
      </c>
      <c r="K14" s="7">
        <f>E5</f>
        <v>3.3774834437086092</v>
      </c>
      <c r="O14" s="98" t="s">
        <v>269</v>
      </c>
      <c r="P14" s="7">
        <f>P11-P12</f>
        <v>12.335586052238952</v>
      </c>
    </row>
    <row r="15" spans="1:16" x14ac:dyDescent="0.35">
      <c r="A15" s="36" t="str">
        <f>DB_GD[[#Headers],[Rpd,ls (Ω)]]</f>
        <v>Rpd,ls (Ω)</v>
      </c>
      <c r="B15" s="2">
        <f>_xlfn.XLOOKUP(B11, DB_GD[Part], DB_GD[Rpd,ls (Ω)])</f>
        <v>0.35</v>
      </c>
      <c r="K15" s="1"/>
    </row>
    <row r="16" spans="1:16" x14ac:dyDescent="0.35">
      <c r="A16" s="36" t="str">
        <f>HMI!G20</f>
        <v>Vboot,max (V)</v>
      </c>
      <c r="B16" s="2">
        <f>HMI!H20</f>
        <v>9.76</v>
      </c>
      <c r="G16" s="100" t="str">
        <f>A22</f>
        <v>Qg,typ @ 10V (nC)</v>
      </c>
      <c r="H16" s="2">
        <f>B22</f>
        <v>41</v>
      </c>
      <c r="J16" s="98" t="s">
        <v>267</v>
      </c>
      <c r="K16" s="7">
        <f>(K12%*K13+(1-K12%)*K14)/2</f>
        <v>2.4638741721854305</v>
      </c>
    </row>
    <row r="17" spans="1:8" x14ac:dyDescent="0.35">
      <c r="A17" s="36" t="str">
        <f>HMI!G22</f>
        <v>Cboot (nF)</v>
      </c>
      <c r="B17" s="2">
        <f>HMI!H22</f>
        <v>150</v>
      </c>
      <c r="G17" s="100" t="str">
        <f>A16</f>
        <v>Vboot,max (V)</v>
      </c>
      <c r="H17" s="7">
        <f>B16</f>
        <v>9.76</v>
      </c>
    </row>
    <row r="18" spans="1:8" x14ac:dyDescent="0.35">
      <c r="A18" s="36" t="str">
        <f>HMI!G30</f>
        <v>Safety margin on losses</v>
      </c>
      <c r="B18" s="7">
        <f>HMI!H30</f>
        <v>3</v>
      </c>
      <c r="D18" s="100" t="str">
        <f>A14</f>
        <v>Rpd,hs (Ω)</v>
      </c>
      <c r="E18" s="2">
        <f>B14</f>
        <v>0.5</v>
      </c>
      <c r="G18" s="100" t="str">
        <f>A4</f>
        <v>Fmax (kHz)</v>
      </c>
      <c r="H18" s="2">
        <f>B4</f>
        <v>64</v>
      </c>
    </row>
    <row r="19" spans="1:8" x14ac:dyDescent="0.35">
      <c r="D19" s="100" t="str">
        <f>A15</f>
        <v>Rpd,ls (Ω)</v>
      </c>
      <c r="E19" s="2">
        <f>B15</f>
        <v>0.35</v>
      </c>
      <c r="H19" s="1"/>
    </row>
    <row r="20" spans="1:8" x14ac:dyDescent="0.35">
      <c r="A20" s="96" t="s">
        <v>102</v>
      </c>
      <c r="B20" s="97"/>
      <c r="D20" s="100" t="str">
        <f>D5</f>
        <v>Rg,eq,off</v>
      </c>
      <c r="E20" s="7">
        <f>E5</f>
        <v>3.3774834437086092</v>
      </c>
      <c r="G20" s="98" t="s">
        <v>272</v>
      </c>
      <c r="H20" s="7">
        <f>H16*H17*H18*10^-3</f>
        <v>25.610239999999997</v>
      </c>
    </row>
    <row r="21" spans="1:8" x14ac:dyDescent="0.35">
      <c r="A21" s="100" t="s">
        <v>230</v>
      </c>
      <c r="B21" s="95" t="str">
        <f>HMI!D3</f>
        <v>TI CSD18540Q5B</v>
      </c>
    </row>
    <row r="22" spans="1:8" x14ac:dyDescent="0.35">
      <c r="A22" s="100" t="str">
        <f>DB_Mostfet[[#Headers],[Qg,typ @ 10V (nC)]]</f>
        <v>Qg,typ @ 10V (nC)</v>
      </c>
      <c r="B22" s="95">
        <f>_xlfn.XLOOKUP(B21, DB_Mostfet[Part],DB_Mostfet[Qg,typ @ 10V (nC)])</f>
        <v>41</v>
      </c>
      <c r="D22" s="98" t="s">
        <v>275</v>
      </c>
      <c r="E22" s="7">
        <f>(E18+E19)/2+E5</f>
        <v>3.802483443708609</v>
      </c>
    </row>
    <row r="24" spans="1:8" x14ac:dyDescent="0.35">
      <c r="G24" s="100" t="str">
        <f>G20</f>
        <v>Pg,loss,min (mW)</v>
      </c>
      <c r="H24" s="7">
        <f>H20</f>
        <v>25.610239999999997</v>
      </c>
    </row>
    <row r="25" spans="1:8" x14ac:dyDescent="0.35">
      <c r="G25" s="100" t="str">
        <f>A18</f>
        <v>Safety margin on losses</v>
      </c>
      <c r="H25" s="7">
        <f>B18</f>
        <v>3</v>
      </c>
    </row>
    <row r="26" spans="1:8" x14ac:dyDescent="0.35">
      <c r="H26" s="1"/>
    </row>
    <row r="27" spans="1:8" x14ac:dyDescent="0.35">
      <c r="G27" s="98" t="s">
        <v>263</v>
      </c>
      <c r="H27" s="7">
        <f>H24*H25</f>
        <v>76.830719999999985</v>
      </c>
    </row>
  </sheetData>
  <mergeCells count="2">
    <mergeCell ref="A1:B1"/>
    <mergeCell ref="A20:B20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CAFF9-1F43-40BD-BD89-61BF0CE5890D}">
  <sheetPr>
    <tabColor rgb="FF00B0F0"/>
  </sheetPr>
  <dimension ref="B2:K16"/>
  <sheetViews>
    <sheetView zoomScale="115" zoomScaleNormal="115" workbookViewId="0">
      <selection activeCell="D24" sqref="D24"/>
    </sheetView>
  </sheetViews>
  <sheetFormatPr defaultColWidth="10.90625" defaultRowHeight="14.5" x14ac:dyDescent="0.35"/>
  <cols>
    <col min="1" max="1" width="3" customWidth="1"/>
    <col min="2" max="2" width="15.08984375" customWidth="1"/>
    <col min="3" max="3" width="19.7265625" customWidth="1"/>
    <col min="4" max="4" width="26.1796875" customWidth="1"/>
    <col min="5" max="6" width="23.90625" customWidth="1"/>
    <col min="7" max="7" width="10.26953125" customWidth="1"/>
    <col min="8" max="8" width="2.1796875" customWidth="1"/>
    <col min="9" max="9" width="31.1796875" customWidth="1"/>
    <col min="10" max="10" width="5.90625" bestFit="1" customWidth="1"/>
    <col min="11" max="11" width="6.08984375" bestFit="1" customWidth="1"/>
  </cols>
  <sheetData>
    <row r="2" spans="2:11" x14ac:dyDescent="0.35">
      <c r="B2" s="88" t="s">
        <v>56</v>
      </c>
      <c r="C2" s="88"/>
      <c r="D2" s="88"/>
      <c r="E2" s="88"/>
      <c r="F2" s="88"/>
      <c r="G2" s="88"/>
      <c r="I2" s="8" t="s">
        <v>48</v>
      </c>
      <c r="J2" s="2">
        <v>0.01</v>
      </c>
      <c r="K2" s="3" t="s">
        <v>49</v>
      </c>
    </row>
    <row r="3" spans="2:11" x14ac:dyDescent="0.35">
      <c r="B3" s="60" t="s">
        <v>54</v>
      </c>
      <c r="C3" s="61" t="s">
        <v>53</v>
      </c>
      <c r="D3" s="61" t="s">
        <v>170</v>
      </c>
      <c r="E3" s="61" t="s">
        <v>174</v>
      </c>
      <c r="F3" s="62" t="s">
        <v>175</v>
      </c>
      <c r="G3" s="62" t="s">
        <v>59</v>
      </c>
      <c r="I3" s="8" t="s">
        <v>51</v>
      </c>
      <c r="J3" s="2">
        <f>HMI!B5</f>
        <v>90</v>
      </c>
      <c r="K3" s="3" t="s">
        <v>31</v>
      </c>
    </row>
    <row r="4" spans="2:11" x14ac:dyDescent="0.35">
      <c r="B4" s="56">
        <f>0.1*1000</f>
        <v>100</v>
      </c>
      <c r="C4" s="6">
        <f>B4*$J$5*$J$5/1000/1000*$J$3/100</f>
        <v>3.6000000000000004E-2</v>
      </c>
      <c r="D4" s="6">
        <f>$J$6*B4/1000*$J$12/1000</f>
        <v>0.32</v>
      </c>
      <c r="E4" s="6">
        <f t="shared" ref="E4:E14" si="0">$J$5*B4/1000*$J$12/1000</f>
        <v>0.128</v>
      </c>
      <c r="F4" s="66">
        <f t="shared" ref="F4:F14" si="1">$J$4*B4/1000*$J$12/1000</f>
        <v>0.08</v>
      </c>
      <c r="G4" s="58">
        <f t="shared" ref="G4:G14" si="2">$J$6/(D4/1000*$J$10/$J$8)</f>
        <v>125.88500976562497</v>
      </c>
      <c r="I4" s="8" t="str">
        <f>HMI!A13</f>
        <v>Iph typ (A) @ 95% ToF</v>
      </c>
      <c r="J4" s="2">
        <f>HMI!B13</f>
        <v>12.5</v>
      </c>
      <c r="K4" s="3" t="s">
        <v>49</v>
      </c>
    </row>
    <row r="5" spans="2:11" x14ac:dyDescent="0.35">
      <c r="B5" s="56">
        <f>B4+100</f>
        <v>200</v>
      </c>
      <c r="C5" s="6">
        <f t="shared" ref="C4:C14" si="3">B5*$J$5*$J$5/1000/1000*$J$3/100</f>
        <v>7.2000000000000008E-2</v>
      </c>
      <c r="D5" s="6">
        <f t="shared" ref="D4:D14" si="4">$J$6*B5/1000*$J$12/1000</f>
        <v>0.64</v>
      </c>
      <c r="E5" s="6">
        <f t="shared" si="0"/>
        <v>0.25600000000000001</v>
      </c>
      <c r="F5" s="66">
        <f t="shared" si="1"/>
        <v>0.16</v>
      </c>
      <c r="G5" s="58">
        <f t="shared" si="2"/>
        <v>62.942504882812486</v>
      </c>
      <c r="I5" s="8" t="str">
        <f>HMI!A14</f>
        <v>Iph max (A@Xs) @ 4.9% ToF</v>
      </c>
      <c r="J5" s="2">
        <f>HMI!B14</f>
        <v>20</v>
      </c>
      <c r="K5" s="3" t="s">
        <v>49</v>
      </c>
    </row>
    <row r="6" spans="2:11" x14ac:dyDescent="0.35">
      <c r="B6" s="56">
        <v>250</v>
      </c>
      <c r="C6" s="6">
        <f t="shared" si="3"/>
        <v>0.09</v>
      </c>
      <c r="D6" s="6">
        <f t="shared" si="4"/>
        <v>0.8</v>
      </c>
      <c r="E6" s="6">
        <f t="shared" si="0"/>
        <v>0.32</v>
      </c>
      <c r="F6" s="66">
        <f t="shared" si="1"/>
        <v>0.2</v>
      </c>
      <c r="G6" s="58">
        <f t="shared" si="2"/>
        <v>50.354003906249993</v>
      </c>
      <c r="I6" s="8" t="str">
        <f>HMI!A15</f>
        <v>Iph spike (A@Xms) @ 0.1% ToF</v>
      </c>
      <c r="J6" s="2">
        <f>HMI!B15</f>
        <v>50</v>
      </c>
      <c r="K6" s="3" t="s">
        <v>49</v>
      </c>
    </row>
    <row r="7" spans="2:11" x14ac:dyDescent="0.35">
      <c r="B7" s="56">
        <f>B5+100</f>
        <v>300</v>
      </c>
      <c r="C7" s="6">
        <f t="shared" si="3"/>
        <v>0.10799999999999998</v>
      </c>
      <c r="D7" s="6">
        <f t="shared" si="4"/>
        <v>0.96</v>
      </c>
      <c r="E7" s="6">
        <f t="shared" si="0"/>
        <v>0.38400000000000001</v>
      </c>
      <c r="F7" s="66">
        <f t="shared" si="1"/>
        <v>0.24</v>
      </c>
      <c r="G7" s="58">
        <f t="shared" si="2"/>
        <v>41.961669921875</v>
      </c>
    </row>
    <row r="8" spans="2:11" x14ac:dyDescent="0.35">
      <c r="B8" s="56">
        <f t="shared" ref="B8:B14" si="5">B7+100</f>
        <v>400</v>
      </c>
      <c r="C8" s="6">
        <f t="shared" si="3"/>
        <v>0.14400000000000002</v>
      </c>
      <c r="D8" s="6">
        <f t="shared" si="4"/>
        <v>1.28</v>
      </c>
      <c r="E8" s="6">
        <f t="shared" si="0"/>
        <v>0.51200000000000001</v>
      </c>
      <c r="F8" s="66">
        <f t="shared" si="1"/>
        <v>0.32</v>
      </c>
      <c r="G8" s="58">
        <f t="shared" si="2"/>
        <v>31.471252441406243</v>
      </c>
      <c r="I8" s="8" t="s">
        <v>50</v>
      </c>
      <c r="J8" s="6">
        <f>HMI!Q4</f>
        <v>3.3</v>
      </c>
      <c r="K8" s="3" t="s">
        <v>2</v>
      </c>
    </row>
    <row r="9" spans="2:11" x14ac:dyDescent="0.35">
      <c r="B9" s="57">
        <f t="shared" si="5"/>
        <v>500</v>
      </c>
      <c r="C9" s="26">
        <f>B9*$J$5*$J$5/1000/1000*$J$3/100</f>
        <v>0.18</v>
      </c>
      <c r="D9" s="26">
        <f t="shared" si="4"/>
        <v>1.6</v>
      </c>
      <c r="E9" s="26">
        <f t="shared" si="0"/>
        <v>0.64</v>
      </c>
      <c r="F9" s="67">
        <f t="shared" si="1"/>
        <v>0.4</v>
      </c>
      <c r="G9" s="59">
        <f t="shared" si="2"/>
        <v>25.177001953124996</v>
      </c>
      <c r="I9" s="8" t="s">
        <v>25</v>
      </c>
      <c r="J9" s="2">
        <f>HMI!Q10</f>
        <v>12</v>
      </c>
      <c r="K9" s="3" t="s">
        <v>26</v>
      </c>
    </row>
    <row r="10" spans="2:11" x14ac:dyDescent="0.35">
      <c r="B10" s="56">
        <f t="shared" si="5"/>
        <v>600</v>
      </c>
      <c r="C10" s="6">
        <f t="shared" si="3"/>
        <v>0.21599999999999997</v>
      </c>
      <c r="D10" s="6">
        <f t="shared" si="4"/>
        <v>1.92</v>
      </c>
      <c r="E10" s="6">
        <f t="shared" si="0"/>
        <v>0.76800000000000002</v>
      </c>
      <c r="F10" s="66">
        <f t="shared" si="1"/>
        <v>0.48</v>
      </c>
      <c r="G10" s="58">
        <f t="shared" si="2"/>
        <v>20.9808349609375</v>
      </c>
      <c r="I10" s="8" t="s">
        <v>25</v>
      </c>
      <c r="J10" s="2">
        <f>2^J9</f>
        <v>4096</v>
      </c>
      <c r="K10" s="3" t="s">
        <v>27</v>
      </c>
    </row>
    <row r="11" spans="2:11" x14ac:dyDescent="0.35">
      <c r="B11" s="56">
        <f t="shared" si="5"/>
        <v>700</v>
      </c>
      <c r="C11" s="6">
        <f t="shared" si="3"/>
        <v>0.252</v>
      </c>
      <c r="D11" s="6">
        <f t="shared" si="4"/>
        <v>2.2400000000000002</v>
      </c>
      <c r="E11" s="6">
        <f t="shared" si="0"/>
        <v>0.89600000000000002</v>
      </c>
      <c r="F11" s="66">
        <f t="shared" si="1"/>
        <v>0.56000000000000005</v>
      </c>
      <c r="G11" s="58">
        <f t="shared" si="2"/>
        <v>17.983572823660712</v>
      </c>
      <c r="I11" s="8" t="s">
        <v>25</v>
      </c>
      <c r="J11" s="7">
        <f>J8/J10*1000</f>
        <v>0.8056640625</v>
      </c>
      <c r="K11" s="3" t="s">
        <v>57</v>
      </c>
    </row>
    <row r="12" spans="2:11" x14ac:dyDescent="0.35">
      <c r="B12" s="56">
        <f t="shared" si="5"/>
        <v>800</v>
      </c>
      <c r="C12" s="6">
        <f t="shared" si="3"/>
        <v>0.28800000000000003</v>
      </c>
      <c r="D12" s="6">
        <f t="shared" si="4"/>
        <v>2.56</v>
      </c>
      <c r="E12" s="6">
        <f t="shared" si="0"/>
        <v>1.024</v>
      </c>
      <c r="F12" s="66">
        <f t="shared" si="1"/>
        <v>0.64</v>
      </c>
      <c r="G12" s="58">
        <f t="shared" si="2"/>
        <v>15.735626220703121</v>
      </c>
      <c r="I12" s="8" t="s">
        <v>58</v>
      </c>
      <c r="J12" s="9">
        <f>HMI!Q11</f>
        <v>64</v>
      </c>
      <c r="K12" s="3" t="s">
        <v>6</v>
      </c>
    </row>
    <row r="13" spans="2:11" x14ac:dyDescent="0.35">
      <c r="B13" s="56">
        <f t="shared" si="5"/>
        <v>900</v>
      </c>
      <c r="C13" s="6">
        <f t="shared" si="3"/>
        <v>0.32400000000000001</v>
      </c>
      <c r="D13" s="6">
        <f t="shared" si="4"/>
        <v>2.88</v>
      </c>
      <c r="E13" s="6">
        <f t="shared" si="0"/>
        <v>1.1519999999999999</v>
      </c>
      <c r="F13" s="66">
        <f t="shared" si="1"/>
        <v>0.72</v>
      </c>
      <c r="G13" s="58">
        <f t="shared" si="2"/>
        <v>13.987223307291666</v>
      </c>
    </row>
    <row r="14" spans="2:11" x14ac:dyDescent="0.35">
      <c r="B14" s="63">
        <f t="shared" si="5"/>
        <v>1000</v>
      </c>
      <c r="C14" s="42">
        <f t="shared" si="3"/>
        <v>0.36</v>
      </c>
      <c r="D14" s="42">
        <f t="shared" si="4"/>
        <v>3.2</v>
      </c>
      <c r="E14" s="42">
        <f t="shared" si="0"/>
        <v>1.28</v>
      </c>
      <c r="F14" s="68">
        <f t="shared" si="1"/>
        <v>0.8</v>
      </c>
      <c r="G14" s="64">
        <f t="shared" si="2"/>
        <v>12.588500976562498</v>
      </c>
    </row>
    <row r="16" spans="2:11" x14ac:dyDescent="0.35">
      <c r="D16" s="35"/>
      <c r="E16" s="35"/>
      <c r="F16" s="35"/>
    </row>
  </sheetData>
  <mergeCells count="1">
    <mergeCell ref="B2:G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99996-B478-42DF-A8D2-7F2DD97B0AD6}">
  <sheetPr>
    <tabColor theme="1" tint="0.499984740745262"/>
  </sheetPr>
  <dimension ref="A1:X7"/>
  <sheetViews>
    <sheetView workbookViewId="0">
      <selection activeCell="L11" sqref="L11"/>
    </sheetView>
  </sheetViews>
  <sheetFormatPr defaultColWidth="10.90625" defaultRowHeight="14.5" x14ac:dyDescent="0.35"/>
  <cols>
    <col min="1" max="1" width="21.08984375" bestFit="1" customWidth="1"/>
    <col min="2" max="2" width="14.08984375" customWidth="1"/>
    <col min="4" max="4" width="12.08984375" customWidth="1"/>
    <col min="5" max="5" width="11.81640625" customWidth="1"/>
    <col min="6" max="6" width="12.81640625" customWidth="1"/>
    <col min="7" max="7" width="12.54296875" customWidth="1"/>
    <col min="8" max="8" width="12.81640625" customWidth="1"/>
    <col min="9" max="9" width="11.90625" customWidth="1"/>
    <col min="10" max="10" width="12.54296875" customWidth="1"/>
    <col min="11" max="11" width="12.1796875" customWidth="1"/>
    <col min="12" max="12" width="13.26953125" bestFit="1" customWidth="1"/>
    <col min="13" max="13" width="19.81640625" bestFit="1" customWidth="1"/>
    <col min="14" max="14" width="19.26953125" bestFit="1" customWidth="1"/>
    <col min="15" max="15" width="23.90625" bestFit="1" customWidth="1"/>
    <col min="16" max="16" width="22.26953125" bestFit="1" customWidth="1"/>
    <col min="17" max="18" width="15.08984375" customWidth="1"/>
    <col min="19" max="20" width="17.26953125" customWidth="1"/>
    <col min="21" max="22" width="18.54296875" customWidth="1"/>
  </cols>
  <sheetData>
    <row r="1" spans="1:24" x14ac:dyDescent="0.35">
      <c r="A1" t="s">
        <v>103</v>
      </c>
      <c r="B1" t="s">
        <v>126</v>
      </c>
      <c r="C1" t="s">
        <v>284</v>
      </c>
      <c r="D1" t="s">
        <v>101</v>
      </c>
      <c r="E1" t="s">
        <v>120</v>
      </c>
      <c r="F1" t="s">
        <v>121</v>
      </c>
      <c r="G1" t="s">
        <v>122</v>
      </c>
      <c r="H1" t="s">
        <v>123</v>
      </c>
      <c r="I1" t="s">
        <v>124</v>
      </c>
      <c r="J1" t="s">
        <v>125</v>
      </c>
      <c r="K1" t="s">
        <v>305</v>
      </c>
      <c r="L1" t="s">
        <v>306</v>
      </c>
      <c r="M1" t="s">
        <v>216</v>
      </c>
      <c r="N1" t="s">
        <v>218</v>
      </c>
      <c r="O1" t="s">
        <v>215</v>
      </c>
      <c r="P1" t="s">
        <v>217</v>
      </c>
      <c r="Q1" t="s">
        <v>171</v>
      </c>
      <c r="R1" t="s">
        <v>176</v>
      </c>
      <c r="S1" t="s">
        <v>172</v>
      </c>
      <c r="T1" t="s">
        <v>177</v>
      </c>
      <c r="U1" t="s">
        <v>173</v>
      </c>
      <c r="V1" t="s">
        <v>178</v>
      </c>
      <c r="W1" t="s">
        <v>179</v>
      </c>
      <c r="X1" t="s">
        <v>251</v>
      </c>
    </row>
    <row r="2" spans="1:24" x14ac:dyDescent="0.35">
      <c r="A2" t="s">
        <v>118</v>
      </c>
      <c r="B2">
        <v>6</v>
      </c>
      <c r="C2">
        <v>90</v>
      </c>
      <c r="D2">
        <v>64</v>
      </c>
      <c r="E2">
        <v>24</v>
      </c>
      <c r="F2">
        <v>6</v>
      </c>
      <c r="G2">
        <v>4</v>
      </c>
      <c r="H2">
        <v>4.2</v>
      </c>
      <c r="I2">
        <v>3.7</v>
      </c>
      <c r="J2">
        <v>3.5</v>
      </c>
      <c r="K2">
        <f t="shared" ref="K2:K7" si="0">H2*F2</f>
        <v>25.200000000000003</v>
      </c>
      <c r="L2">
        <f t="shared" ref="L2:L7" si="1">J2*G2</f>
        <v>14</v>
      </c>
      <c r="M2">
        <v>32</v>
      </c>
      <c r="N2">
        <v>35</v>
      </c>
      <c r="O2">
        <v>45</v>
      </c>
      <c r="P2">
        <v>28</v>
      </c>
      <c r="Q2">
        <v>12.5</v>
      </c>
      <c r="R2">
        <v>95</v>
      </c>
      <c r="S2">
        <v>20</v>
      </c>
      <c r="T2">
        <f>100-DB_limits[[#This Row],[ToF Iph typ (%)]]-DB_limits[[#This Row],[ToF Iph spike (%)]]</f>
        <v>4.9000000000000004</v>
      </c>
      <c r="U2">
        <v>50</v>
      </c>
      <c r="V2">
        <v>0.1</v>
      </c>
      <c r="W2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</row>
    <row r="3" spans="1:24" x14ac:dyDescent="0.35">
      <c r="A3" t="s">
        <v>214</v>
      </c>
      <c r="B3">
        <v>6</v>
      </c>
      <c r="C3">
        <v>90</v>
      </c>
      <c r="D3">
        <v>48</v>
      </c>
      <c r="E3">
        <v>24</v>
      </c>
      <c r="F3">
        <v>6</v>
      </c>
      <c r="G3">
        <v>4</v>
      </c>
      <c r="H3">
        <v>4.2</v>
      </c>
      <c r="I3">
        <v>3.7</v>
      </c>
      <c r="J3">
        <v>3.5</v>
      </c>
      <c r="K3">
        <f t="shared" si="0"/>
        <v>25.200000000000003</v>
      </c>
      <c r="L3">
        <f t="shared" si="1"/>
        <v>14</v>
      </c>
      <c r="M3">
        <v>32</v>
      </c>
      <c r="N3">
        <v>35</v>
      </c>
      <c r="O3">
        <v>45</v>
      </c>
      <c r="P3">
        <v>28</v>
      </c>
      <c r="Q3">
        <v>12.5</v>
      </c>
      <c r="R3">
        <v>95</v>
      </c>
      <c r="S3">
        <v>20</v>
      </c>
      <c r="T3">
        <f>100-DB_limits[[#This Row],[ToF Iph typ (%)]]-DB_limits[[#This Row],[ToF Iph spike (%)]]</f>
        <v>4.9000000000000004</v>
      </c>
      <c r="U3">
        <v>50</v>
      </c>
      <c r="V3">
        <v>0.1</v>
      </c>
      <c r="W3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</row>
    <row r="4" spans="1:24" x14ac:dyDescent="0.35">
      <c r="A4" t="s">
        <v>212</v>
      </c>
      <c r="B4">
        <v>6</v>
      </c>
      <c r="C4">
        <v>90</v>
      </c>
      <c r="D4">
        <v>64</v>
      </c>
      <c r="E4">
        <v>24</v>
      </c>
      <c r="F4">
        <v>6</v>
      </c>
      <c r="G4">
        <v>4</v>
      </c>
      <c r="H4">
        <v>4.2</v>
      </c>
      <c r="I4">
        <v>3.7</v>
      </c>
      <c r="J4">
        <v>3.5</v>
      </c>
      <c r="K4">
        <f t="shared" si="0"/>
        <v>25.200000000000003</v>
      </c>
      <c r="L4">
        <f t="shared" si="1"/>
        <v>14</v>
      </c>
      <c r="M4">
        <v>32</v>
      </c>
      <c r="N4">
        <v>35</v>
      </c>
      <c r="O4">
        <v>45</v>
      </c>
      <c r="P4">
        <v>28</v>
      </c>
      <c r="Q4">
        <v>12.5</v>
      </c>
      <c r="R4">
        <v>85</v>
      </c>
      <c r="S4">
        <v>25</v>
      </c>
      <c r="T4">
        <f>100-DB_limits[[#This Row],[ToF Iph typ (%)]]-DB_limits[[#This Row],[ToF Iph spike (%)]]</f>
        <v>14</v>
      </c>
      <c r="U4">
        <v>50</v>
      </c>
      <c r="V4">
        <v>1</v>
      </c>
      <c r="W4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</row>
    <row r="5" spans="1:24" x14ac:dyDescent="0.35">
      <c r="A5" t="s">
        <v>213</v>
      </c>
      <c r="B5">
        <v>6</v>
      </c>
      <c r="C5">
        <v>95</v>
      </c>
      <c r="D5">
        <v>64</v>
      </c>
      <c r="E5">
        <v>24</v>
      </c>
      <c r="F5">
        <v>6</v>
      </c>
      <c r="G5">
        <v>4</v>
      </c>
      <c r="H5">
        <v>4.2</v>
      </c>
      <c r="I5">
        <v>3.7</v>
      </c>
      <c r="J5">
        <v>3.5</v>
      </c>
      <c r="K5">
        <f t="shared" si="0"/>
        <v>25.200000000000003</v>
      </c>
      <c r="L5">
        <f t="shared" si="1"/>
        <v>14</v>
      </c>
      <c r="M5">
        <v>32</v>
      </c>
      <c r="N5">
        <v>35</v>
      </c>
      <c r="O5">
        <v>45</v>
      </c>
      <c r="P5">
        <v>28</v>
      </c>
      <c r="Q5">
        <v>12.5</v>
      </c>
      <c r="R5">
        <v>95</v>
      </c>
      <c r="S5">
        <v>20</v>
      </c>
      <c r="T5">
        <f>100-DB_limits[[#This Row],[ToF Iph typ (%)]]-DB_limits[[#This Row],[ToF Iph spike (%)]]</f>
        <v>4.9000000000000004</v>
      </c>
      <c r="U5">
        <v>50</v>
      </c>
      <c r="V5">
        <v>0.1</v>
      </c>
      <c r="W5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</row>
    <row r="6" spans="1:24" x14ac:dyDescent="0.35">
      <c r="A6" t="s">
        <v>119</v>
      </c>
      <c r="B6">
        <v>6</v>
      </c>
      <c r="C6">
        <v>95</v>
      </c>
      <c r="D6">
        <v>96</v>
      </c>
      <c r="E6">
        <v>24</v>
      </c>
      <c r="F6">
        <v>6</v>
      </c>
      <c r="G6">
        <v>4</v>
      </c>
      <c r="H6">
        <v>4.2</v>
      </c>
      <c r="I6">
        <v>3.7</v>
      </c>
      <c r="J6">
        <v>3.25</v>
      </c>
      <c r="K6">
        <f t="shared" si="0"/>
        <v>25.200000000000003</v>
      </c>
      <c r="L6">
        <f t="shared" si="1"/>
        <v>13</v>
      </c>
      <c r="M6">
        <v>32</v>
      </c>
      <c r="N6">
        <v>35</v>
      </c>
      <c r="O6">
        <v>45</v>
      </c>
      <c r="P6">
        <v>28</v>
      </c>
      <c r="Q6">
        <v>15</v>
      </c>
      <c r="R6">
        <v>85</v>
      </c>
      <c r="S6">
        <v>25</v>
      </c>
      <c r="T6">
        <f>100-DB_limits[[#This Row],[ToF Iph typ (%)]]-DB_limits[[#This Row],[ToF Iph spike (%)]]</f>
        <v>14</v>
      </c>
      <c r="U6">
        <v>60</v>
      </c>
      <c r="V6">
        <v>1</v>
      </c>
      <c r="W6">
        <f>DB_limits[[#This Row],[Iph typ (A)]]*DB_limits[[#This Row],[ToF Iph typ (%)]]%+DB_limits[[#This Row],[Iph max (A@Xs)]]*DB_limits[[#This Row],[ToF Iph max (%)]]%+DB_limits[[#This Row],[Iph spike (A@Xms)]]*DB_limits[[#This Row],[ToF Iph spike (%)]]%</f>
        <v>16.850000000000001</v>
      </c>
    </row>
    <row r="7" spans="1:24" x14ac:dyDescent="0.35">
      <c r="A7" t="s">
        <v>224</v>
      </c>
      <c r="B7">
        <v>6</v>
      </c>
      <c r="C7">
        <v>90</v>
      </c>
      <c r="D7">
        <v>64</v>
      </c>
      <c r="E7">
        <v>24</v>
      </c>
      <c r="F7">
        <v>6</v>
      </c>
      <c r="G7">
        <v>4</v>
      </c>
      <c r="H7">
        <v>4.2</v>
      </c>
      <c r="I7">
        <v>3.7</v>
      </c>
      <c r="J7">
        <v>3.5</v>
      </c>
      <c r="K7">
        <f t="shared" si="0"/>
        <v>25.200000000000003</v>
      </c>
      <c r="L7">
        <f t="shared" si="1"/>
        <v>14</v>
      </c>
      <c r="M7">
        <v>32</v>
      </c>
      <c r="N7">
        <v>35</v>
      </c>
      <c r="O7">
        <v>45</v>
      </c>
      <c r="P7">
        <v>28</v>
      </c>
      <c r="Q7">
        <v>12.5</v>
      </c>
      <c r="R7">
        <v>85</v>
      </c>
      <c r="S7">
        <v>25</v>
      </c>
      <c r="T7">
        <f>100-DB_limits[[#This Row],[ToF Iph typ (%)]]-DB_limits[[#This Row],[ToF Iph spike (%)]]</f>
        <v>14</v>
      </c>
      <c r="U7">
        <v>50</v>
      </c>
      <c r="V7">
        <v>1</v>
      </c>
      <c r="W7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50DB9-D324-41B0-A143-6FBDE816CD44}">
  <sheetPr>
    <tabColor theme="1" tint="0.499984740745262"/>
  </sheetPr>
  <dimension ref="A1:V78"/>
  <sheetViews>
    <sheetView workbookViewId="0">
      <selection activeCell="K7" sqref="K7"/>
    </sheetView>
  </sheetViews>
  <sheetFormatPr defaultRowHeight="14.5" x14ac:dyDescent="0.35"/>
  <cols>
    <col min="1" max="1" width="13.7265625" bestFit="1" customWidth="1"/>
    <col min="2" max="2" width="7.26953125" bestFit="1" customWidth="1"/>
    <col min="3" max="3" width="8.26953125" bestFit="1" customWidth="1"/>
    <col min="4" max="4" width="17.453125" bestFit="1" customWidth="1"/>
    <col min="5" max="5" width="15.54296875" bestFit="1" customWidth="1"/>
    <col min="6" max="6" width="13.36328125" bestFit="1" customWidth="1"/>
    <col min="7" max="7" width="8" bestFit="1" customWidth="1"/>
  </cols>
  <sheetData>
    <row r="1" spans="1:8" x14ac:dyDescent="0.35">
      <c r="A1" t="s">
        <v>292</v>
      </c>
      <c r="B1" t="s">
        <v>237</v>
      </c>
      <c r="C1" t="s">
        <v>254</v>
      </c>
      <c r="D1" t="s">
        <v>293</v>
      </c>
      <c r="E1" t="s">
        <v>294</v>
      </c>
      <c r="F1" t="s">
        <v>295</v>
      </c>
      <c r="G1" t="s">
        <v>103</v>
      </c>
      <c r="H1" t="s">
        <v>298</v>
      </c>
    </row>
    <row r="2" spans="1:8" x14ac:dyDescent="0.35">
      <c r="A2" s="114" t="str">
        <f>IF(B2&gt;1000,C2&amp; "kΩ, ",B2&amp; "Ω, ")  &amp; DB_R[[#This Row],[Package (m)]]</f>
        <v>33Ω, 2012m</v>
      </c>
      <c r="B2">
        <v>33</v>
      </c>
      <c r="C2" s="114">
        <f>DB_R[[#This Row],[R (Ω)]]/1000</f>
        <v>3.3000000000000002E-2</v>
      </c>
      <c r="D2">
        <v>0.25</v>
      </c>
      <c r="E2" s="119" t="s">
        <v>296</v>
      </c>
      <c r="F2" s="70" t="s">
        <v>297</v>
      </c>
      <c r="H2" t="s">
        <v>300</v>
      </c>
    </row>
    <row r="3" spans="1:8" x14ac:dyDescent="0.35">
      <c r="A3" s="114" t="str">
        <f>IF(B3&gt;1000,C3&amp; "kΩ, ",B3&amp; "Ω, ")  &amp; DB_R[[#This Row],[Package (m)]]</f>
        <v>47Ω, 2012m</v>
      </c>
      <c r="B3">
        <v>47</v>
      </c>
      <c r="C3">
        <f>DB_R[[#This Row],[R (Ω)]]/1000</f>
        <v>4.7E-2</v>
      </c>
      <c r="D3">
        <v>0.25</v>
      </c>
      <c r="E3" s="119" t="s">
        <v>296</v>
      </c>
      <c r="F3" s="70" t="s">
        <v>297</v>
      </c>
      <c r="H3" t="s">
        <v>300</v>
      </c>
    </row>
    <row r="4" spans="1:8" x14ac:dyDescent="0.35">
      <c r="A4" s="114" t="str">
        <f>IF(B4&gt;1000,C4&amp; "kΩ, ",B4&amp; "Ω, ")  &amp; DB_R[[#This Row],[Package (m)]]</f>
        <v>100Ω, 2012m</v>
      </c>
      <c r="B4">
        <v>100</v>
      </c>
      <c r="C4">
        <f>DB_R[[#This Row],[R (Ω)]]/1000</f>
        <v>0.1</v>
      </c>
      <c r="D4">
        <v>0.25</v>
      </c>
      <c r="E4" s="119" t="s">
        <v>296</v>
      </c>
      <c r="F4" s="70" t="s">
        <v>297</v>
      </c>
      <c r="H4" t="s">
        <v>300</v>
      </c>
    </row>
    <row r="5" spans="1:8" x14ac:dyDescent="0.35">
      <c r="A5" s="114" t="str">
        <f>IF(B5&gt;1000,C5&amp; "kΩ, ",B5&amp; "Ω, ")  &amp; DB_R[[#This Row],[Package (m)]]</f>
        <v>110Ω, 2012m</v>
      </c>
      <c r="B5">
        <v>110</v>
      </c>
      <c r="C5">
        <f>DB_R[[#This Row],[R (Ω)]]/1000</f>
        <v>0.11</v>
      </c>
      <c r="D5">
        <v>0.25</v>
      </c>
      <c r="E5" s="119" t="s">
        <v>296</v>
      </c>
      <c r="F5" s="70" t="s">
        <v>297</v>
      </c>
      <c r="H5" t="s">
        <v>300</v>
      </c>
    </row>
    <row r="6" spans="1:8" x14ac:dyDescent="0.35">
      <c r="A6" s="114" t="str">
        <f>IF(B6&gt;1000,C6&amp; "kΩ, ",B6&amp; "Ω, ")  &amp; DB_R[[#This Row],[Package (m)]]</f>
        <v>120Ω, 2012m</v>
      </c>
      <c r="B6">
        <v>120</v>
      </c>
      <c r="C6">
        <f>DB_R[[#This Row],[R (Ω)]]/1000</f>
        <v>0.12</v>
      </c>
      <c r="D6">
        <v>0.25</v>
      </c>
      <c r="E6" s="119" t="s">
        <v>296</v>
      </c>
      <c r="F6" s="70" t="s">
        <v>297</v>
      </c>
      <c r="H6" t="s">
        <v>300</v>
      </c>
    </row>
    <row r="7" spans="1:8" x14ac:dyDescent="0.35">
      <c r="A7" s="114" t="str">
        <f>IF(B7&gt;1000,C7&amp; "kΩ, ",B7&amp; "Ω, ")  &amp; DB_R[[#This Row],[Package (m)]]</f>
        <v>130Ω, 2012m</v>
      </c>
      <c r="B7">
        <v>130</v>
      </c>
      <c r="C7">
        <f>DB_R[[#This Row],[R (Ω)]]/1000</f>
        <v>0.13</v>
      </c>
      <c r="D7">
        <v>0.25</v>
      </c>
      <c r="E7" s="119" t="s">
        <v>296</v>
      </c>
      <c r="F7" s="70" t="s">
        <v>297</v>
      </c>
      <c r="H7" t="s">
        <v>300</v>
      </c>
    </row>
    <row r="8" spans="1:8" x14ac:dyDescent="0.35">
      <c r="A8" s="114" t="str">
        <f>IF(B8&gt;1000,C8&amp; "kΩ, ",B8&amp; "Ω, ")  &amp; DB_R[[#This Row],[Package (m)]]</f>
        <v>150Ω, 2012m</v>
      </c>
      <c r="B8">
        <v>150</v>
      </c>
      <c r="C8">
        <f>DB_R[[#This Row],[R (Ω)]]/1000</f>
        <v>0.15</v>
      </c>
      <c r="D8">
        <v>0.25</v>
      </c>
      <c r="E8" s="119" t="s">
        <v>296</v>
      </c>
      <c r="F8" s="70" t="s">
        <v>297</v>
      </c>
      <c r="H8" t="s">
        <v>300</v>
      </c>
    </row>
    <row r="9" spans="1:8" x14ac:dyDescent="0.35">
      <c r="A9" s="114" t="str">
        <f>IF(B9&gt;1000,C9&amp; "kΩ, ",B9&amp; "Ω, ")  &amp; DB_R[[#This Row],[Package (m)]]</f>
        <v>160Ω, 2012m</v>
      </c>
      <c r="B9">
        <v>160</v>
      </c>
      <c r="C9">
        <f>DB_R[[#This Row],[R (Ω)]]/1000</f>
        <v>0.16</v>
      </c>
      <c r="D9">
        <v>0.25</v>
      </c>
      <c r="E9" s="119" t="s">
        <v>296</v>
      </c>
      <c r="F9" s="70" t="s">
        <v>297</v>
      </c>
      <c r="H9" t="s">
        <v>300</v>
      </c>
    </row>
    <row r="10" spans="1:8" x14ac:dyDescent="0.35">
      <c r="A10" s="114" t="str">
        <f>IF(B10&gt;1000,C10&amp; "kΩ, ",B10&amp; "Ω, ")  &amp; DB_R[[#This Row],[Package (m)]]</f>
        <v>180Ω, 2012m</v>
      </c>
      <c r="B10">
        <v>180</v>
      </c>
      <c r="C10">
        <f>DB_R[[#This Row],[R (Ω)]]/1000</f>
        <v>0.18</v>
      </c>
      <c r="D10">
        <v>0.25</v>
      </c>
      <c r="E10" s="119" t="s">
        <v>296</v>
      </c>
      <c r="F10" s="70" t="s">
        <v>297</v>
      </c>
      <c r="H10" t="s">
        <v>300</v>
      </c>
    </row>
    <row r="11" spans="1:8" x14ac:dyDescent="0.35">
      <c r="A11" s="114" t="str">
        <f>IF(B11&gt;1000,C11&amp; "kΩ, ",B11&amp; "Ω, ")  &amp; DB_R[[#This Row],[Package (m)]]</f>
        <v>200Ω, 2012m</v>
      </c>
      <c r="B11">
        <v>200</v>
      </c>
      <c r="C11">
        <f>DB_R[[#This Row],[R (Ω)]]/1000</f>
        <v>0.2</v>
      </c>
      <c r="D11">
        <v>0.25</v>
      </c>
      <c r="E11" s="119" t="s">
        <v>296</v>
      </c>
      <c r="F11" s="70" t="s">
        <v>297</v>
      </c>
      <c r="H11" t="s">
        <v>300</v>
      </c>
    </row>
    <row r="12" spans="1:8" x14ac:dyDescent="0.35">
      <c r="A12" s="114" t="str">
        <f>IF(B12&gt;1000,C12&amp; "kΩ, ",B12&amp; "Ω, ")  &amp; DB_R[[#This Row],[Package (m)]]</f>
        <v>220Ω, 2012m</v>
      </c>
      <c r="B12">
        <v>220</v>
      </c>
      <c r="C12">
        <f>DB_R[[#This Row],[R (Ω)]]/1000</f>
        <v>0.22</v>
      </c>
      <c r="D12">
        <v>0.25</v>
      </c>
      <c r="E12" s="119" t="s">
        <v>296</v>
      </c>
      <c r="F12" s="70" t="s">
        <v>297</v>
      </c>
      <c r="H12" t="s">
        <v>300</v>
      </c>
    </row>
    <row r="13" spans="1:8" x14ac:dyDescent="0.35">
      <c r="A13" s="114" t="str">
        <f>IF(B13&gt;1000,C13&amp; "kΩ, ",B13&amp; "Ω, ")  &amp; DB_R[[#This Row],[Package (m)]]</f>
        <v>240Ω, 2012m</v>
      </c>
      <c r="B13">
        <v>240</v>
      </c>
      <c r="C13">
        <f>DB_R[[#This Row],[R (Ω)]]/1000</f>
        <v>0.24</v>
      </c>
      <c r="D13">
        <v>0.25</v>
      </c>
      <c r="E13" s="119" t="s">
        <v>296</v>
      </c>
      <c r="F13" s="70" t="s">
        <v>297</v>
      </c>
      <c r="H13" t="s">
        <v>300</v>
      </c>
    </row>
    <row r="14" spans="1:8" x14ac:dyDescent="0.35">
      <c r="A14" s="114" t="str">
        <f>IF(B14&gt;1000,C14&amp; "kΩ, ",B14&amp; "Ω, ")  &amp; DB_R[[#This Row],[Package (m)]]</f>
        <v>270Ω, 2012m</v>
      </c>
      <c r="B14">
        <v>270</v>
      </c>
      <c r="C14">
        <f>DB_R[[#This Row],[R (Ω)]]/1000</f>
        <v>0.27</v>
      </c>
      <c r="D14">
        <v>0.25</v>
      </c>
      <c r="E14" s="119" t="s">
        <v>296</v>
      </c>
      <c r="F14" s="70" t="s">
        <v>297</v>
      </c>
      <c r="H14" t="s">
        <v>300</v>
      </c>
    </row>
    <row r="15" spans="1:8" x14ac:dyDescent="0.35">
      <c r="A15" s="114" t="str">
        <f>IF(B15&gt;1000,C15&amp; "kΩ, ",B15&amp; "Ω, ")  &amp; DB_R[[#This Row],[Package (m)]]</f>
        <v>300Ω, 2012m</v>
      </c>
      <c r="B15">
        <v>300</v>
      </c>
      <c r="C15">
        <f>DB_R[[#This Row],[R (Ω)]]/1000</f>
        <v>0.3</v>
      </c>
      <c r="D15">
        <v>0.25</v>
      </c>
      <c r="E15" s="119" t="s">
        <v>296</v>
      </c>
      <c r="F15" s="70" t="s">
        <v>297</v>
      </c>
      <c r="H15" t="s">
        <v>300</v>
      </c>
    </row>
    <row r="16" spans="1:8" x14ac:dyDescent="0.35">
      <c r="A16" s="114" t="str">
        <f>IF(B16&gt;1000,C16&amp; "kΩ, ",B16&amp; "Ω, ")  &amp; DB_R[[#This Row],[Package (m)]]</f>
        <v>330Ω, 2012m</v>
      </c>
      <c r="B16">
        <v>330</v>
      </c>
      <c r="C16">
        <f>DB_R[[#This Row],[R (Ω)]]/1000</f>
        <v>0.33</v>
      </c>
      <c r="D16">
        <v>0.25</v>
      </c>
      <c r="E16" s="119" t="s">
        <v>296</v>
      </c>
      <c r="F16" s="70" t="s">
        <v>297</v>
      </c>
      <c r="H16" t="s">
        <v>300</v>
      </c>
    </row>
    <row r="17" spans="1:22" x14ac:dyDescent="0.35">
      <c r="A17" s="114" t="str">
        <f>IF(B17&gt;1000,C17&amp; "kΩ, ",B17&amp; "Ω, ")  &amp; DB_R[[#This Row],[Package (m)]]</f>
        <v>360Ω, 2012m</v>
      </c>
      <c r="B17">
        <v>360</v>
      </c>
      <c r="C17">
        <f>DB_R[[#This Row],[R (Ω)]]/1000</f>
        <v>0.36</v>
      </c>
      <c r="D17">
        <v>0.25</v>
      </c>
      <c r="E17" s="119" t="s">
        <v>296</v>
      </c>
      <c r="F17" s="70" t="s">
        <v>297</v>
      </c>
      <c r="H17" t="s">
        <v>300</v>
      </c>
    </row>
    <row r="18" spans="1:22" x14ac:dyDescent="0.35">
      <c r="A18" s="114" t="str">
        <f>IF(B18&gt;1000,C18&amp; "kΩ, ",B18&amp; "Ω, ")  &amp; DB_R[[#This Row],[Package (m)]]</f>
        <v>390Ω, 2012m</v>
      </c>
      <c r="B18">
        <v>390</v>
      </c>
      <c r="C18">
        <f>DB_R[[#This Row],[R (Ω)]]/1000</f>
        <v>0.39</v>
      </c>
      <c r="D18">
        <v>0.25</v>
      </c>
      <c r="E18" s="119" t="s">
        <v>296</v>
      </c>
      <c r="F18" s="70" t="s">
        <v>297</v>
      </c>
      <c r="H18" t="s">
        <v>300</v>
      </c>
    </row>
    <row r="19" spans="1:22" x14ac:dyDescent="0.35">
      <c r="A19" s="114" t="str">
        <f>IF(B19&gt;1000,C19&amp; "kΩ, ",B19&amp; "Ω, ")  &amp; DB_R[[#This Row],[Package (m)]]</f>
        <v>430Ω, 2012m</v>
      </c>
      <c r="B19">
        <v>430</v>
      </c>
      <c r="C19">
        <f>DB_R[[#This Row],[R (Ω)]]/1000</f>
        <v>0.43</v>
      </c>
      <c r="D19">
        <v>0.25</v>
      </c>
      <c r="E19" s="119" t="s">
        <v>296</v>
      </c>
      <c r="F19" s="70" t="s">
        <v>297</v>
      </c>
      <c r="H19" t="s">
        <v>300</v>
      </c>
      <c r="N19" s="90"/>
      <c r="O19" s="90"/>
      <c r="P19" s="90"/>
      <c r="Q19" s="90"/>
      <c r="R19" s="90"/>
      <c r="S19" s="90"/>
      <c r="T19" s="90"/>
      <c r="U19" s="90"/>
      <c r="V19" s="90"/>
    </row>
    <row r="20" spans="1:22" x14ac:dyDescent="0.35">
      <c r="A20" s="114" t="str">
        <f>IF(B20&gt;1000,C20&amp; "kΩ, ",B20&amp; "Ω, ")  &amp; DB_R[[#This Row],[Package (m)]]</f>
        <v>470Ω, 2012m</v>
      </c>
      <c r="B20">
        <v>470</v>
      </c>
      <c r="C20">
        <f>DB_R[[#This Row],[R (Ω)]]/1000</f>
        <v>0.47</v>
      </c>
      <c r="D20">
        <v>0.25</v>
      </c>
      <c r="E20" s="119" t="s">
        <v>296</v>
      </c>
      <c r="F20" s="70" t="s">
        <v>297</v>
      </c>
      <c r="H20" t="s">
        <v>300</v>
      </c>
      <c r="N20" s="90"/>
      <c r="O20" s="90"/>
      <c r="P20" s="90"/>
      <c r="Q20" s="90"/>
      <c r="R20" s="90"/>
      <c r="S20" s="90"/>
      <c r="T20" s="90"/>
      <c r="U20" s="90"/>
      <c r="V20" s="90"/>
    </row>
    <row r="21" spans="1:22" x14ac:dyDescent="0.35">
      <c r="A21" s="114" t="str">
        <f>IF(B21&gt;1000,C21&amp; "kΩ, ",B21&amp; "Ω, ")  &amp; DB_R[[#This Row],[Package (m)]]</f>
        <v>510Ω, 2012m</v>
      </c>
      <c r="B21">
        <v>510</v>
      </c>
      <c r="C21">
        <f>DB_R[[#This Row],[R (Ω)]]/1000</f>
        <v>0.51</v>
      </c>
      <c r="D21">
        <v>0.25</v>
      </c>
      <c r="E21" s="119" t="s">
        <v>296</v>
      </c>
      <c r="F21" s="70" t="s">
        <v>297</v>
      </c>
      <c r="H21" t="s">
        <v>300</v>
      </c>
      <c r="N21" s="90"/>
      <c r="O21" s="90"/>
      <c r="P21" s="90"/>
      <c r="Q21" s="90"/>
      <c r="R21" s="90"/>
      <c r="S21" s="90"/>
      <c r="T21" s="90"/>
      <c r="U21" s="90"/>
      <c r="V21" s="90"/>
    </row>
    <row r="22" spans="1:22" x14ac:dyDescent="0.35">
      <c r="A22" s="114" t="str">
        <f>IF(B22&gt;1000,C22&amp; "kΩ, ",B22&amp; "Ω, ")  &amp; DB_R[[#This Row],[Package (m)]]</f>
        <v>560Ω, 2012m</v>
      </c>
      <c r="B22">
        <v>560</v>
      </c>
      <c r="C22">
        <f>DB_R[[#This Row],[R (Ω)]]/1000</f>
        <v>0.56000000000000005</v>
      </c>
      <c r="D22">
        <v>0.25</v>
      </c>
      <c r="E22" s="119" t="s">
        <v>296</v>
      </c>
      <c r="F22" s="70" t="s">
        <v>297</v>
      </c>
      <c r="H22" t="s">
        <v>300</v>
      </c>
      <c r="N22" s="90"/>
      <c r="O22" s="90"/>
      <c r="P22" s="90"/>
      <c r="Q22" s="90"/>
      <c r="R22" s="90"/>
      <c r="S22" s="90"/>
      <c r="T22" s="90"/>
      <c r="U22" s="90"/>
      <c r="V22" s="90"/>
    </row>
    <row r="23" spans="1:22" x14ac:dyDescent="0.35">
      <c r="A23" s="114" t="str">
        <f>IF(B23&gt;1000,C23&amp; "kΩ, ",B23&amp; "Ω, ")  &amp; DB_R[[#This Row],[Package (m)]]</f>
        <v>620Ω, 2012m</v>
      </c>
      <c r="B23">
        <v>620</v>
      </c>
      <c r="C23">
        <f>DB_R[[#This Row],[R (Ω)]]/1000</f>
        <v>0.62</v>
      </c>
      <c r="D23">
        <v>0.25</v>
      </c>
      <c r="E23" s="119" t="s">
        <v>296</v>
      </c>
      <c r="F23" s="70" t="s">
        <v>297</v>
      </c>
      <c r="H23" t="s">
        <v>300</v>
      </c>
      <c r="N23" s="90"/>
      <c r="O23" s="122"/>
      <c r="P23" s="91"/>
      <c r="Q23" s="91"/>
      <c r="R23" s="123"/>
      <c r="S23" s="123"/>
      <c r="T23" s="91"/>
      <c r="U23" s="91"/>
      <c r="V23" s="90"/>
    </row>
    <row r="24" spans="1:22" x14ac:dyDescent="0.35">
      <c r="A24" s="114" t="str">
        <f>IF(B24&gt;1000,C24&amp; "kΩ, ",B24&amp; "Ω, ")  &amp; DB_R[[#This Row],[Package (m)]]</f>
        <v>680Ω, 2012m</v>
      </c>
      <c r="B24">
        <v>680</v>
      </c>
      <c r="C24">
        <f>DB_R[[#This Row],[R (Ω)]]/1000</f>
        <v>0.68</v>
      </c>
      <c r="D24">
        <v>0.25</v>
      </c>
      <c r="E24" s="119" t="s">
        <v>296</v>
      </c>
      <c r="F24" s="70" t="s">
        <v>297</v>
      </c>
      <c r="H24" t="s">
        <v>300</v>
      </c>
      <c r="N24" s="90"/>
      <c r="O24" s="122"/>
      <c r="P24" s="91"/>
      <c r="Q24" s="91"/>
      <c r="R24" s="123"/>
      <c r="S24" s="123"/>
      <c r="T24" s="91"/>
      <c r="U24" s="91"/>
      <c r="V24" s="90"/>
    </row>
    <row r="25" spans="1:22" x14ac:dyDescent="0.35">
      <c r="A25" s="114" t="str">
        <f>IF(B25&gt;1000,C25&amp; "kΩ, ",B25&amp; "Ω, ")  &amp; DB_R[[#This Row],[Package (m)]]</f>
        <v>750Ω, 2012m</v>
      </c>
      <c r="B25">
        <v>750</v>
      </c>
      <c r="C25">
        <f>DB_R[[#This Row],[R (Ω)]]/1000</f>
        <v>0.75</v>
      </c>
      <c r="D25">
        <v>0.25</v>
      </c>
      <c r="E25" s="119" t="s">
        <v>296</v>
      </c>
      <c r="F25" s="70" t="s">
        <v>297</v>
      </c>
      <c r="H25" t="s">
        <v>300</v>
      </c>
      <c r="N25" s="90"/>
      <c r="O25" s="122"/>
      <c r="P25" s="91"/>
      <c r="Q25" s="91"/>
      <c r="R25" s="123"/>
      <c r="S25" s="123"/>
      <c r="T25" s="91"/>
      <c r="U25" s="91"/>
      <c r="V25" s="90"/>
    </row>
    <row r="26" spans="1:22" x14ac:dyDescent="0.35">
      <c r="A26" s="114" t="str">
        <f>IF(B26&gt;1000,C26&amp; "kΩ, ",B26&amp; "Ω, ")  &amp; DB_R[[#This Row],[Package (m)]]</f>
        <v>820Ω, 2012m</v>
      </c>
      <c r="B26">
        <v>820</v>
      </c>
      <c r="C26">
        <f>DB_R[[#This Row],[R (Ω)]]/1000</f>
        <v>0.82</v>
      </c>
      <c r="D26">
        <v>0.25</v>
      </c>
      <c r="E26" s="119" t="s">
        <v>296</v>
      </c>
      <c r="F26" s="70" t="s">
        <v>297</v>
      </c>
      <c r="H26" t="s">
        <v>300</v>
      </c>
      <c r="N26" s="90"/>
      <c r="O26" s="122"/>
      <c r="P26" s="91"/>
      <c r="Q26" s="91"/>
      <c r="R26" s="123"/>
      <c r="S26" s="123"/>
      <c r="T26" s="91"/>
      <c r="U26" s="91"/>
      <c r="V26" s="90"/>
    </row>
    <row r="27" spans="1:22" x14ac:dyDescent="0.35">
      <c r="A27" s="114" t="str">
        <f>IF(B27&gt;1000,C27&amp; "kΩ, ",B27&amp; "Ω, ")  &amp; DB_R[[#This Row],[Package (m)]]</f>
        <v>910Ω, 2012m</v>
      </c>
      <c r="B27">
        <v>910</v>
      </c>
      <c r="C27">
        <f>DB_R[[#This Row],[R (Ω)]]/1000</f>
        <v>0.91</v>
      </c>
      <c r="D27">
        <v>0.25</v>
      </c>
      <c r="E27" s="119" t="s">
        <v>296</v>
      </c>
      <c r="F27" s="70" t="s">
        <v>297</v>
      </c>
      <c r="H27" t="s">
        <v>300</v>
      </c>
      <c r="N27" s="90"/>
      <c r="O27" s="122"/>
      <c r="P27" s="91"/>
      <c r="Q27" s="91"/>
      <c r="R27" s="123"/>
      <c r="S27" s="123"/>
      <c r="T27" s="91"/>
      <c r="U27" s="91"/>
      <c r="V27" s="90"/>
    </row>
    <row r="28" spans="1:22" x14ac:dyDescent="0.35">
      <c r="A28" s="114" t="str">
        <f>IF(B28&gt;1000,C28&amp; "kΩ, ",B28&amp; "Ω, ")  &amp; DB_R[[#This Row],[Package (m)]]</f>
        <v>1000Ω, 2012m</v>
      </c>
      <c r="B28">
        <v>1000</v>
      </c>
      <c r="C28">
        <f>DB_R[[#This Row],[R (Ω)]]/1000</f>
        <v>1</v>
      </c>
      <c r="D28">
        <v>0.25</v>
      </c>
      <c r="E28" s="119" t="s">
        <v>296</v>
      </c>
      <c r="F28" s="70" t="s">
        <v>297</v>
      </c>
      <c r="H28" t="s">
        <v>300</v>
      </c>
      <c r="N28" s="90"/>
      <c r="O28" s="122"/>
      <c r="P28" s="91"/>
      <c r="Q28" s="91"/>
      <c r="R28" s="123"/>
      <c r="S28" s="123"/>
      <c r="T28" s="91"/>
      <c r="U28" s="91"/>
      <c r="V28" s="90"/>
    </row>
    <row r="29" spans="1:22" x14ac:dyDescent="0.35">
      <c r="A29" s="114" t="str">
        <f>IF(B29&gt;1000,C29&amp; "kΩ, ",B29&amp; "Ω, ")  &amp; DB_R[[#This Row],[Package (m)]]</f>
        <v>1.1kΩ, 2012m</v>
      </c>
      <c r="B29">
        <v>1100</v>
      </c>
      <c r="C29">
        <f>DB_R[[#This Row],[R (Ω)]]/1000</f>
        <v>1.1000000000000001</v>
      </c>
      <c r="D29">
        <v>0.25</v>
      </c>
      <c r="E29" s="119" t="s">
        <v>296</v>
      </c>
      <c r="F29" s="70" t="s">
        <v>297</v>
      </c>
      <c r="H29" t="s">
        <v>300</v>
      </c>
      <c r="N29" s="90"/>
      <c r="O29" s="122"/>
      <c r="P29" s="91"/>
      <c r="Q29" s="91"/>
      <c r="R29" s="123"/>
      <c r="S29" s="123"/>
      <c r="T29" s="91"/>
      <c r="U29" s="91"/>
      <c r="V29" s="90"/>
    </row>
    <row r="30" spans="1:22" x14ac:dyDescent="0.35">
      <c r="A30" s="114" t="str">
        <f>IF(B30&gt;1000,C30&amp; "kΩ, ",B30&amp; "Ω, ")  &amp; DB_R[[#This Row],[Package (m)]]</f>
        <v>1.2kΩ, 2012m</v>
      </c>
      <c r="B30">
        <v>1200</v>
      </c>
      <c r="C30">
        <f>DB_R[[#This Row],[R (Ω)]]/1000</f>
        <v>1.2</v>
      </c>
      <c r="D30">
        <v>0.25</v>
      </c>
      <c r="E30" s="119" t="s">
        <v>296</v>
      </c>
      <c r="F30" s="70" t="s">
        <v>297</v>
      </c>
      <c r="H30" t="s">
        <v>300</v>
      </c>
      <c r="N30" s="90"/>
      <c r="O30" s="122"/>
      <c r="P30" s="91"/>
      <c r="Q30" s="91"/>
      <c r="R30" s="123"/>
      <c r="S30" s="123"/>
      <c r="T30" s="91"/>
      <c r="U30" s="91"/>
      <c r="V30" s="90"/>
    </row>
    <row r="31" spans="1:22" x14ac:dyDescent="0.35">
      <c r="A31" s="114" t="str">
        <f>IF(B31&gt;1000,C31&amp; "kΩ, ",B31&amp; "Ω, ")  &amp; DB_R[[#This Row],[Package (m)]]</f>
        <v>1.3kΩ, 2012m</v>
      </c>
      <c r="B31">
        <v>1300</v>
      </c>
      <c r="C31">
        <f>DB_R[[#This Row],[R (Ω)]]/1000</f>
        <v>1.3</v>
      </c>
      <c r="D31">
        <v>0.25</v>
      </c>
      <c r="E31" s="119" t="s">
        <v>296</v>
      </c>
      <c r="F31" s="70" t="s">
        <v>297</v>
      </c>
      <c r="H31" t="s">
        <v>300</v>
      </c>
      <c r="N31" s="90"/>
      <c r="O31" s="122"/>
      <c r="P31" s="91"/>
      <c r="Q31" s="91"/>
      <c r="R31" s="123"/>
      <c r="S31" s="123"/>
      <c r="T31" s="91"/>
      <c r="U31" s="91"/>
      <c r="V31" s="90"/>
    </row>
    <row r="32" spans="1:22" x14ac:dyDescent="0.35">
      <c r="A32" s="114" t="str">
        <f>IF(B32&gt;1000,C32&amp; "kΩ, ",B32&amp; "Ω, ")  &amp; DB_R[[#This Row],[Package (m)]]</f>
        <v>1.5kΩ, 2012m</v>
      </c>
      <c r="B32">
        <v>1500</v>
      </c>
      <c r="C32">
        <f>DB_R[[#This Row],[R (Ω)]]/1000</f>
        <v>1.5</v>
      </c>
      <c r="D32">
        <v>0.25</v>
      </c>
      <c r="E32" s="119" t="s">
        <v>296</v>
      </c>
      <c r="F32" s="70" t="s">
        <v>297</v>
      </c>
      <c r="H32" t="s">
        <v>300</v>
      </c>
      <c r="N32" s="90"/>
      <c r="O32" s="122"/>
      <c r="P32" s="91"/>
      <c r="Q32" s="91"/>
      <c r="R32" s="123"/>
      <c r="S32" s="123"/>
      <c r="T32" s="91"/>
      <c r="U32" s="91"/>
      <c r="V32" s="90"/>
    </row>
    <row r="33" spans="1:22" x14ac:dyDescent="0.35">
      <c r="A33" s="114" t="str">
        <f>IF(B33&gt;1000,C33&amp; "kΩ, ",B33&amp; "Ω, ")  &amp; DB_R[[#This Row],[Package (m)]]</f>
        <v>1.6kΩ, 2012m</v>
      </c>
      <c r="B33">
        <v>1600</v>
      </c>
      <c r="C33">
        <f>DB_R[[#This Row],[R (Ω)]]/1000</f>
        <v>1.6</v>
      </c>
      <c r="D33">
        <v>0.25</v>
      </c>
      <c r="E33" s="119" t="s">
        <v>296</v>
      </c>
      <c r="F33" s="70" t="s">
        <v>297</v>
      </c>
      <c r="H33" t="s">
        <v>300</v>
      </c>
      <c r="N33" s="90"/>
      <c r="O33" s="122"/>
      <c r="P33" s="91"/>
      <c r="Q33" s="91"/>
      <c r="R33" s="123"/>
      <c r="S33" s="123"/>
      <c r="T33" s="91"/>
      <c r="U33" s="91"/>
      <c r="V33" s="90"/>
    </row>
    <row r="34" spans="1:22" x14ac:dyDescent="0.35">
      <c r="A34" s="114" t="str">
        <f>IF(B34&gt;1000,C34&amp; "kΩ, ",B34&amp; "Ω, ")  &amp; DB_R[[#This Row],[Package (m)]]</f>
        <v>1.8kΩ, 2012m</v>
      </c>
      <c r="B34">
        <v>1800</v>
      </c>
      <c r="C34">
        <f>DB_R[[#This Row],[R (Ω)]]/1000</f>
        <v>1.8</v>
      </c>
      <c r="D34">
        <v>0.25</v>
      </c>
      <c r="E34" s="119" t="s">
        <v>296</v>
      </c>
      <c r="F34" s="70" t="s">
        <v>297</v>
      </c>
      <c r="H34" t="s">
        <v>300</v>
      </c>
      <c r="N34" s="90"/>
      <c r="O34" s="122"/>
      <c r="P34" s="91"/>
      <c r="Q34" s="91"/>
      <c r="R34" s="123"/>
      <c r="S34" s="123"/>
      <c r="T34" s="91"/>
      <c r="U34" s="91"/>
      <c r="V34" s="90"/>
    </row>
    <row r="35" spans="1:22" x14ac:dyDescent="0.35">
      <c r="A35" s="114" t="str">
        <f>IF(B35&gt;1000,C35&amp; "kΩ, ",B35&amp; "Ω, ")  &amp; DB_R[[#This Row],[Package (m)]]</f>
        <v>2kΩ, 2012m</v>
      </c>
      <c r="B35">
        <v>2000</v>
      </c>
      <c r="C35">
        <f>DB_R[[#This Row],[R (Ω)]]/1000</f>
        <v>2</v>
      </c>
      <c r="D35">
        <v>0.25</v>
      </c>
      <c r="E35" s="119" t="s">
        <v>296</v>
      </c>
      <c r="F35" s="70" t="s">
        <v>297</v>
      </c>
      <c r="H35" t="s">
        <v>300</v>
      </c>
      <c r="N35" s="90"/>
      <c r="O35" s="90"/>
      <c r="P35" s="90"/>
      <c r="Q35" s="90"/>
      <c r="R35" s="90"/>
      <c r="S35" s="90"/>
      <c r="T35" s="90"/>
      <c r="U35" s="90"/>
      <c r="V35" s="90"/>
    </row>
    <row r="36" spans="1:22" x14ac:dyDescent="0.35">
      <c r="A36" s="114" t="str">
        <f>IF(B36&gt;1000,C36&amp; "kΩ, ",B36&amp; "Ω, ")  &amp; DB_R[[#This Row],[Package (m)]]</f>
        <v>2.2kΩ, 2012m</v>
      </c>
      <c r="B36">
        <v>2200</v>
      </c>
      <c r="C36">
        <f>DB_R[[#This Row],[R (Ω)]]/1000</f>
        <v>2.2000000000000002</v>
      </c>
      <c r="D36">
        <v>0.25</v>
      </c>
      <c r="E36" s="119" t="s">
        <v>296</v>
      </c>
      <c r="F36" s="70" t="s">
        <v>297</v>
      </c>
      <c r="H36" t="s">
        <v>300</v>
      </c>
      <c r="N36" s="90"/>
      <c r="O36" s="90"/>
      <c r="P36" s="90"/>
      <c r="Q36" s="90"/>
      <c r="R36" s="90"/>
      <c r="S36" s="90"/>
      <c r="T36" s="90"/>
      <c r="U36" s="90"/>
      <c r="V36" s="90"/>
    </row>
    <row r="37" spans="1:22" x14ac:dyDescent="0.35">
      <c r="A37" s="114" t="str">
        <f>IF(B37&gt;1000,C37&amp; "kΩ, ",B37&amp; "Ω, ")  &amp; DB_R[[#This Row],[Package (m)]]</f>
        <v>2.4kΩ, 2012m</v>
      </c>
      <c r="B37">
        <v>2400</v>
      </c>
      <c r="C37">
        <f>DB_R[[#This Row],[R (Ω)]]/1000</f>
        <v>2.4</v>
      </c>
      <c r="D37">
        <v>0.25</v>
      </c>
      <c r="E37" s="119" t="s">
        <v>296</v>
      </c>
      <c r="F37" s="70" t="s">
        <v>297</v>
      </c>
      <c r="H37" t="s">
        <v>300</v>
      </c>
    </row>
    <row r="38" spans="1:22" x14ac:dyDescent="0.35">
      <c r="A38" s="114" t="str">
        <f>IF(B38&gt;1000,C38&amp; "kΩ, ",B38&amp; "Ω, ")  &amp; DB_R[[#This Row],[Package (m)]]</f>
        <v>2.7kΩ, 2012m</v>
      </c>
      <c r="B38">
        <v>2700</v>
      </c>
      <c r="C38">
        <f>DB_R[[#This Row],[R (Ω)]]/1000</f>
        <v>2.7</v>
      </c>
      <c r="D38">
        <v>0.25</v>
      </c>
      <c r="E38" s="119" t="s">
        <v>296</v>
      </c>
      <c r="F38" s="70" t="s">
        <v>297</v>
      </c>
      <c r="H38" t="s">
        <v>300</v>
      </c>
    </row>
    <row r="39" spans="1:22" x14ac:dyDescent="0.35">
      <c r="A39" s="114" t="str">
        <f>IF(B39&gt;1000,C39&amp; "kΩ, ",B39&amp; "Ω, ")  &amp; DB_R[[#This Row],[Package (m)]]</f>
        <v>3kΩ, 2012m</v>
      </c>
      <c r="B39">
        <v>3000</v>
      </c>
      <c r="C39">
        <f>DB_R[[#This Row],[R (Ω)]]/1000</f>
        <v>3</v>
      </c>
      <c r="D39">
        <v>0.25</v>
      </c>
      <c r="E39" s="119" t="s">
        <v>296</v>
      </c>
      <c r="F39" s="70" t="s">
        <v>297</v>
      </c>
      <c r="H39" t="s">
        <v>300</v>
      </c>
    </row>
    <row r="40" spans="1:22" x14ac:dyDescent="0.35">
      <c r="A40" s="114" t="str">
        <f>IF(B40&gt;1000,C40&amp; "kΩ, ",B40&amp; "Ω, ")  &amp; DB_R[[#This Row],[Package (m)]]</f>
        <v>3kΩ, 2012m</v>
      </c>
      <c r="B40">
        <v>3000</v>
      </c>
      <c r="C40">
        <f>DB_R[[#This Row],[R (Ω)]]/1000</f>
        <v>3</v>
      </c>
      <c r="D40">
        <v>0.25</v>
      </c>
      <c r="E40" s="119" t="s">
        <v>296</v>
      </c>
      <c r="F40" s="70" t="s">
        <v>297</v>
      </c>
      <c r="H40" t="s">
        <v>300</v>
      </c>
    </row>
    <row r="41" spans="1:22" x14ac:dyDescent="0.35">
      <c r="A41" s="114" t="str">
        <f>IF(B41&gt;1000,C41&amp; "kΩ, ",B41&amp; "Ω, ")  &amp; DB_R[[#This Row],[Package (m)]]</f>
        <v>3.3kΩ, 2012m</v>
      </c>
      <c r="B41">
        <v>3300</v>
      </c>
      <c r="C41">
        <f>DB_R[[#This Row],[R (Ω)]]/1000</f>
        <v>3.3</v>
      </c>
      <c r="D41">
        <v>0.25</v>
      </c>
      <c r="E41" s="119" t="s">
        <v>296</v>
      </c>
      <c r="F41" s="70" t="s">
        <v>297</v>
      </c>
      <c r="H41" t="s">
        <v>300</v>
      </c>
    </row>
    <row r="42" spans="1:22" x14ac:dyDescent="0.35">
      <c r="A42" s="114" t="str">
        <f>IF(B42&gt;1000,C42&amp; "kΩ, ",B42&amp; "Ω, ")  &amp; DB_R[[#This Row],[Package (m)]]</f>
        <v>3.6kΩ, 2012m</v>
      </c>
      <c r="B42">
        <v>3600</v>
      </c>
      <c r="C42">
        <f>DB_R[[#This Row],[R (Ω)]]/1000</f>
        <v>3.6</v>
      </c>
      <c r="D42">
        <v>0.25</v>
      </c>
      <c r="E42" s="119" t="s">
        <v>296</v>
      </c>
      <c r="F42" s="70" t="s">
        <v>297</v>
      </c>
      <c r="H42" t="s">
        <v>300</v>
      </c>
    </row>
    <row r="43" spans="1:22" x14ac:dyDescent="0.35">
      <c r="A43" s="114" t="str">
        <f>IF(B43&gt;1000,C43&amp; "kΩ, ",B43&amp; "Ω, ")  &amp; DB_R[[#This Row],[Package (m)]]</f>
        <v>3.9kΩ, 2012m</v>
      </c>
      <c r="B43">
        <v>3900</v>
      </c>
      <c r="C43">
        <f>DB_R[[#This Row],[R (Ω)]]/1000</f>
        <v>3.9</v>
      </c>
      <c r="D43">
        <v>0.25</v>
      </c>
      <c r="E43" s="119" t="s">
        <v>296</v>
      </c>
      <c r="F43" s="70" t="s">
        <v>297</v>
      </c>
      <c r="H43" t="s">
        <v>300</v>
      </c>
    </row>
    <row r="44" spans="1:22" x14ac:dyDescent="0.35">
      <c r="A44" s="114" t="str">
        <f>IF(B44&gt;1000,C44&amp; "kΩ, ",B44&amp; "Ω, ")  &amp; DB_R[[#This Row],[Package (m)]]</f>
        <v>4.3kΩ, 2012m</v>
      </c>
      <c r="B44">
        <v>4300</v>
      </c>
      <c r="C44">
        <f>DB_R[[#This Row],[R (Ω)]]/1000</f>
        <v>4.3</v>
      </c>
      <c r="D44">
        <v>0.25</v>
      </c>
      <c r="E44" s="119" t="s">
        <v>296</v>
      </c>
      <c r="F44" s="70" t="s">
        <v>297</v>
      </c>
      <c r="H44" t="s">
        <v>300</v>
      </c>
    </row>
    <row r="45" spans="1:22" x14ac:dyDescent="0.35">
      <c r="A45" s="114" t="str">
        <f>IF(B45&gt;1000,C45&amp; "kΩ, ",B45&amp; "Ω, ")  &amp; DB_R[[#This Row],[Package (m)]]</f>
        <v>4.7kΩ, 2012m</v>
      </c>
      <c r="B45">
        <v>4700</v>
      </c>
      <c r="C45">
        <f>DB_R[[#This Row],[R (Ω)]]/1000</f>
        <v>4.7</v>
      </c>
      <c r="D45">
        <v>0.25</v>
      </c>
      <c r="E45" s="119" t="s">
        <v>296</v>
      </c>
      <c r="F45" s="70" t="s">
        <v>297</v>
      </c>
      <c r="H45" t="s">
        <v>300</v>
      </c>
    </row>
    <row r="46" spans="1:22" x14ac:dyDescent="0.35">
      <c r="A46" s="114" t="str">
        <f>IF(B46&gt;1000,C46&amp; "kΩ, ",B46&amp; "Ω, ")  &amp; DB_R[[#This Row],[Package (m)]]</f>
        <v>5.1kΩ, 2012m</v>
      </c>
      <c r="B46">
        <v>5100</v>
      </c>
      <c r="C46">
        <f>DB_R[[#This Row],[R (Ω)]]/1000</f>
        <v>5.0999999999999996</v>
      </c>
      <c r="D46">
        <v>0.25</v>
      </c>
      <c r="E46" s="119" t="s">
        <v>296</v>
      </c>
      <c r="F46" s="70" t="s">
        <v>297</v>
      </c>
      <c r="H46" t="s">
        <v>300</v>
      </c>
    </row>
    <row r="47" spans="1:22" x14ac:dyDescent="0.35">
      <c r="A47" s="114" t="str">
        <f>IF(B47&gt;1000,C47&amp; "kΩ, ",B47&amp; "Ω, ")  &amp; DB_R[[#This Row],[Package (m)]]</f>
        <v>5.6kΩ, 2012m</v>
      </c>
      <c r="B47">
        <v>5600</v>
      </c>
      <c r="C47">
        <f>DB_R[[#This Row],[R (Ω)]]/1000</f>
        <v>5.6</v>
      </c>
      <c r="D47">
        <v>0.25</v>
      </c>
      <c r="E47" s="119" t="s">
        <v>296</v>
      </c>
      <c r="F47" s="70" t="s">
        <v>297</v>
      </c>
      <c r="H47" t="s">
        <v>300</v>
      </c>
    </row>
    <row r="48" spans="1:22" x14ac:dyDescent="0.35">
      <c r="A48" s="114" t="str">
        <f>IF(B48&gt;1000,C48&amp; "kΩ, ",B48&amp; "Ω, ")  &amp; DB_R[[#This Row],[Package (m)]]</f>
        <v>6.2kΩ, 2012m</v>
      </c>
      <c r="B48">
        <v>6200</v>
      </c>
      <c r="C48">
        <f>DB_R[[#This Row],[R (Ω)]]/1000</f>
        <v>6.2</v>
      </c>
      <c r="D48">
        <v>0.25</v>
      </c>
      <c r="E48" s="119" t="s">
        <v>296</v>
      </c>
      <c r="F48" s="70" t="s">
        <v>297</v>
      </c>
      <c r="H48" t="s">
        <v>300</v>
      </c>
    </row>
    <row r="49" spans="1:8" x14ac:dyDescent="0.35">
      <c r="A49" s="114" t="str">
        <f>IF(B49&gt;1000,C49&amp; "kΩ, ",B49&amp; "Ω, ")  &amp; DB_R[[#This Row],[Package (m)]]</f>
        <v>6.8kΩ, 2012m</v>
      </c>
      <c r="B49">
        <v>6800</v>
      </c>
      <c r="C49">
        <f>DB_R[[#This Row],[R (Ω)]]/1000</f>
        <v>6.8</v>
      </c>
      <c r="D49">
        <v>0.25</v>
      </c>
      <c r="E49" s="119" t="s">
        <v>296</v>
      </c>
      <c r="F49" s="70" t="s">
        <v>297</v>
      </c>
      <c r="H49" t="s">
        <v>300</v>
      </c>
    </row>
    <row r="50" spans="1:8" x14ac:dyDescent="0.35">
      <c r="A50" s="114" t="str">
        <f>IF(B50&gt;1000,C50&amp; "kΩ, ",B50&amp; "Ω, ")  &amp; DB_R[[#This Row],[Package (m)]]</f>
        <v>7.5kΩ, 2012m</v>
      </c>
      <c r="B50">
        <v>7500</v>
      </c>
      <c r="C50">
        <f>DB_R[[#This Row],[R (Ω)]]/1000</f>
        <v>7.5</v>
      </c>
      <c r="D50">
        <v>0.25</v>
      </c>
      <c r="E50" s="119" t="s">
        <v>296</v>
      </c>
      <c r="F50" s="70" t="s">
        <v>297</v>
      </c>
      <c r="H50" t="s">
        <v>300</v>
      </c>
    </row>
    <row r="51" spans="1:8" x14ac:dyDescent="0.35">
      <c r="A51" s="114" t="str">
        <f>IF(B51&gt;1000,C51&amp; "kΩ, ",B51&amp; "Ω, ")  &amp; DB_R[[#This Row],[Package (m)]]</f>
        <v>8.2kΩ, 2012m</v>
      </c>
      <c r="B51">
        <v>8200</v>
      </c>
      <c r="C51">
        <f>DB_R[[#This Row],[R (Ω)]]/1000</f>
        <v>8.1999999999999993</v>
      </c>
      <c r="D51">
        <v>0.25</v>
      </c>
      <c r="E51" s="119" t="s">
        <v>296</v>
      </c>
      <c r="F51" s="70" t="s">
        <v>297</v>
      </c>
      <c r="H51" t="s">
        <v>300</v>
      </c>
    </row>
    <row r="52" spans="1:8" x14ac:dyDescent="0.35">
      <c r="A52" s="114" t="str">
        <f>IF(B52&gt;1000,C52&amp; "kΩ, ",B52&amp; "Ω, ")  &amp; DB_R[[#This Row],[Package (m)]]</f>
        <v>9.1kΩ, 2012m</v>
      </c>
      <c r="B52">
        <v>9100</v>
      </c>
      <c r="C52">
        <f>DB_R[[#This Row],[R (Ω)]]/1000</f>
        <v>9.1</v>
      </c>
      <c r="D52">
        <v>0.25</v>
      </c>
      <c r="E52" s="119" t="s">
        <v>296</v>
      </c>
      <c r="F52" s="70" t="s">
        <v>297</v>
      </c>
      <c r="H52" t="s">
        <v>300</v>
      </c>
    </row>
    <row r="53" spans="1:8" x14ac:dyDescent="0.35">
      <c r="A53" s="114" t="str">
        <f>IF(B53&gt;1000,C53&amp; "kΩ, ",B53&amp; "Ω, ")  &amp; DB_R[[#This Row],[Package (m)]]</f>
        <v xml:space="preserve">10kΩ, </v>
      </c>
      <c r="B53">
        <v>10000</v>
      </c>
      <c r="C53">
        <f>DB_R[[#This Row],[R (Ω)]]/1000</f>
        <v>10</v>
      </c>
      <c r="E53" s="119"/>
      <c r="F53" s="70"/>
    </row>
    <row r="54" spans="1:8" x14ac:dyDescent="0.35">
      <c r="A54" s="114" t="str">
        <f>IF(B54&gt;1000,C54&amp; "kΩ, ",B54&amp; "Ω, ")  &amp; DB_R[[#This Row],[Package (m)]]</f>
        <v xml:space="preserve">10kΩ, </v>
      </c>
      <c r="B54">
        <v>10000</v>
      </c>
      <c r="C54">
        <f>DB_R[[#This Row],[R (Ω)]]/1000</f>
        <v>10</v>
      </c>
      <c r="E54" s="119"/>
      <c r="F54" s="70"/>
    </row>
    <row r="55" spans="1:8" x14ac:dyDescent="0.35">
      <c r="A55" s="114" t="str">
        <f>IF(B55&gt;1000,C55&amp; "kΩ, ",B55&amp; "Ω, ")  &amp; DB_R[[#This Row],[Package (m)]]</f>
        <v xml:space="preserve">11kΩ, </v>
      </c>
      <c r="B55">
        <v>11000</v>
      </c>
      <c r="C55">
        <f>DB_R[[#This Row],[R (Ω)]]/1000</f>
        <v>11</v>
      </c>
      <c r="E55" s="119"/>
      <c r="F55" s="70"/>
    </row>
    <row r="56" spans="1:8" x14ac:dyDescent="0.35">
      <c r="A56" s="114" t="str">
        <f>IF(B56&gt;1000,C56&amp; "kΩ, ",B56&amp; "Ω, ")  &amp; DB_R[[#This Row],[Package (m)]]</f>
        <v xml:space="preserve">12kΩ, </v>
      </c>
      <c r="B56">
        <v>12000</v>
      </c>
      <c r="C56">
        <f>DB_R[[#This Row],[R (Ω)]]/1000</f>
        <v>12</v>
      </c>
      <c r="E56" s="119"/>
      <c r="F56" s="70"/>
    </row>
    <row r="57" spans="1:8" x14ac:dyDescent="0.35">
      <c r="A57" s="114" t="str">
        <f>IF(B57&gt;1000,C57&amp; "kΩ, ",B57&amp; "Ω, ")  &amp; DB_R[[#This Row],[Package (m)]]</f>
        <v xml:space="preserve">13kΩ, </v>
      </c>
      <c r="B57">
        <v>13000</v>
      </c>
      <c r="C57">
        <f>DB_R[[#This Row],[R (Ω)]]/1000</f>
        <v>13</v>
      </c>
      <c r="E57" s="119"/>
      <c r="F57" s="70"/>
    </row>
    <row r="58" spans="1:8" x14ac:dyDescent="0.35">
      <c r="A58" s="114" t="str">
        <f>IF(B58&gt;1000,C58&amp; "kΩ, ",B58&amp; "Ω, ")  &amp; DB_R[[#This Row],[Package (m)]]</f>
        <v xml:space="preserve">15kΩ, </v>
      </c>
      <c r="B58">
        <v>15000</v>
      </c>
      <c r="C58">
        <f>DB_R[[#This Row],[R (Ω)]]/1000</f>
        <v>15</v>
      </c>
      <c r="E58" s="119"/>
      <c r="F58" s="70"/>
    </row>
    <row r="59" spans="1:8" x14ac:dyDescent="0.35">
      <c r="A59" s="114" t="str">
        <f>IF(B59&gt;1000,C59&amp; "kΩ, ",B59&amp; "Ω, ")  &amp; DB_R[[#This Row],[Package (m)]]</f>
        <v xml:space="preserve">16kΩ, </v>
      </c>
      <c r="B59">
        <v>16000</v>
      </c>
      <c r="C59">
        <f>DB_R[[#This Row],[R (Ω)]]/1000</f>
        <v>16</v>
      </c>
      <c r="E59" s="119"/>
      <c r="F59" s="70"/>
    </row>
    <row r="60" spans="1:8" x14ac:dyDescent="0.35">
      <c r="A60" s="114" t="str">
        <f>IF(B60&gt;1000,C60&amp; "kΩ, ",B60&amp; "Ω, ")  &amp; DB_R[[#This Row],[Package (m)]]</f>
        <v xml:space="preserve">18kΩ, </v>
      </c>
      <c r="B60">
        <v>18000</v>
      </c>
      <c r="C60">
        <f>DB_R[[#This Row],[R (Ω)]]/1000</f>
        <v>18</v>
      </c>
      <c r="E60" s="119"/>
      <c r="F60" s="70"/>
    </row>
    <row r="61" spans="1:8" x14ac:dyDescent="0.35">
      <c r="A61" s="114" t="str">
        <f>IF(B61&gt;1000,C61&amp; "kΩ, ",B61&amp; "Ω, ")  &amp; DB_R[[#This Row],[Package (m)]]</f>
        <v xml:space="preserve">20kΩ, </v>
      </c>
      <c r="B61">
        <v>20000</v>
      </c>
      <c r="C61">
        <f>DB_R[[#This Row],[R (Ω)]]/1000</f>
        <v>20</v>
      </c>
      <c r="E61" s="119"/>
      <c r="F61" s="70"/>
    </row>
    <row r="62" spans="1:8" x14ac:dyDescent="0.35">
      <c r="A62" s="114" t="str">
        <f>IF(B62&gt;1000,C62&amp; "kΩ, ",B62&amp; "Ω, ")  &amp; DB_R[[#This Row],[Package (m)]]</f>
        <v xml:space="preserve">22kΩ, </v>
      </c>
      <c r="B62">
        <v>22000</v>
      </c>
      <c r="C62">
        <f>DB_R[[#This Row],[R (Ω)]]/1000</f>
        <v>22</v>
      </c>
      <c r="E62" s="119"/>
      <c r="F62" s="70"/>
    </row>
    <row r="63" spans="1:8" x14ac:dyDescent="0.35">
      <c r="A63" s="114" t="str">
        <f>IF(B63&gt;1000,C63&amp; "kΩ, ",B63&amp; "Ω, ")  &amp; DB_R[[#This Row],[Package (m)]]</f>
        <v xml:space="preserve">24kΩ, </v>
      </c>
      <c r="B63">
        <v>24000</v>
      </c>
      <c r="C63">
        <f>DB_R[[#This Row],[R (Ω)]]/1000</f>
        <v>24</v>
      </c>
      <c r="E63" s="119"/>
      <c r="F63" s="70"/>
    </row>
    <row r="64" spans="1:8" x14ac:dyDescent="0.35">
      <c r="A64" s="114" t="str">
        <f>IF(B64&gt;1000,C64&amp; "kΩ, ",B64&amp; "Ω, ")  &amp; DB_R[[#This Row],[Package (m)]]</f>
        <v xml:space="preserve">27kΩ, </v>
      </c>
      <c r="B64">
        <v>27000</v>
      </c>
      <c r="C64">
        <f>DB_R[[#This Row],[R (Ω)]]/1000</f>
        <v>27</v>
      </c>
      <c r="E64" s="119"/>
      <c r="F64" s="70"/>
    </row>
    <row r="65" spans="1:6" x14ac:dyDescent="0.35">
      <c r="A65" s="114" t="str">
        <f>IF(B65&gt;1000,C65&amp; "kΩ, ",B65&amp; "Ω, ")  &amp; DB_R[[#This Row],[Package (m)]]</f>
        <v xml:space="preserve">30kΩ, </v>
      </c>
      <c r="B65">
        <v>30000</v>
      </c>
      <c r="C65">
        <f>DB_R[[#This Row],[R (Ω)]]/1000</f>
        <v>30</v>
      </c>
      <c r="E65" s="119"/>
      <c r="F65" s="70"/>
    </row>
    <row r="66" spans="1:6" x14ac:dyDescent="0.35">
      <c r="A66" s="114" t="str">
        <f>IF(B66&gt;1000,C66&amp; "kΩ, ",B66&amp; "Ω, ")  &amp; DB_R[[#This Row],[Package (m)]]</f>
        <v xml:space="preserve">33kΩ, </v>
      </c>
      <c r="B66">
        <v>33000</v>
      </c>
      <c r="C66">
        <f>DB_R[[#This Row],[R (Ω)]]/1000</f>
        <v>33</v>
      </c>
      <c r="E66" s="119"/>
      <c r="F66" s="70"/>
    </row>
    <row r="67" spans="1:6" x14ac:dyDescent="0.35">
      <c r="A67" s="114" t="str">
        <f>IF(B67&gt;1000,C67&amp; "kΩ, ",B67&amp; "Ω, ")  &amp; DB_R[[#This Row],[Package (m)]]</f>
        <v xml:space="preserve">36kΩ, </v>
      </c>
      <c r="B67">
        <v>36000</v>
      </c>
      <c r="C67">
        <f>DB_R[[#This Row],[R (Ω)]]/1000</f>
        <v>36</v>
      </c>
      <c r="E67" s="119"/>
      <c r="F67" s="70"/>
    </row>
    <row r="68" spans="1:6" x14ac:dyDescent="0.35">
      <c r="A68" s="114" t="str">
        <f>IF(B68&gt;1000,C68&amp; "kΩ, ",B68&amp; "Ω, ")  &amp; DB_R[[#This Row],[Package (m)]]</f>
        <v xml:space="preserve">39kΩ, </v>
      </c>
      <c r="B68">
        <v>39000</v>
      </c>
      <c r="C68">
        <f>DB_R[[#This Row],[R (Ω)]]/1000</f>
        <v>39</v>
      </c>
      <c r="E68" s="119"/>
      <c r="F68" s="70"/>
    </row>
    <row r="69" spans="1:6" x14ac:dyDescent="0.35">
      <c r="A69" s="114" t="str">
        <f>IF(B69&gt;1000,C69&amp; "kΩ, ",B69&amp; "Ω, ")  &amp; DB_R[[#This Row],[Package (m)]]</f>
        <v xml:space="preserve">43kΩ, </v>
      </c>
      <c r="B69">
        <v>43000</v>
      </c>
      <c r="C69">
        <f>DB_R[[#This Row],[R (Ω)]]/1000</f>
        <v>43</v>
      </c>
      <c r="E69" s="119"/>
      <c r="F69" s="70"/>
    </row>
    <row r="70" spans="1:6" x14ac:dyDescent="0.35">
      <c r="A70" s="114" t="str">
        <f>IF(B70&gt;1000,C70&amp; "kΩ, ",B70&amp; "Ω, ")  &amp; DB_R[[#This Row],[Package (m)]]</f>
        <v xml:space="preserve">47kΩ, </v>
      </c>
      <c r="B70">
        <v>47000</v>
      </c>
      <c r="C70">
        <f>DB_R[[#This Row],[R (Ω)]]/1000</f>
        <v>47</v>
      </c>
      <c r="E70" s="119"/>
      <c r="F70" s="70"/>
    </row>
    <row r="71" spans="1:6" x14ac:dyDescent="0.35">
      <c r="A71" s="114" t="str">
        <f>IF(B71&gt;1000,C71&amp; "kΩ, ",B71&amp; "Ω, ")  &amp; DB_R[[#This Row],[Package (m)]]</f>
        <v xml:space="preserve">51kΩ, </v>
      </c>
      <c r="B71">
        <v>51000</v>
      </c>
      <c r="C71">
        <f>DB_R[[#This Row],[R (Ω)]]/1000</f>
        <v>51</v>
      </c>
      <c r="E71" s="119"/>
      <c r="F71" s="70"/>
    </row>
    <row r="72" spans="1:6" x14ac:dyDescent="0.35">
      <c r="A72" s="114" t="str">
        <f>IF(B72&gt;1000,C72&amp; "kΩ, ",B72&amp; "Ω, ")  &amp; DB_R[[#This Row],[Package (m)]]</f>
        <v xml:space="preserve">56kΩ, </v>
      </c>
      <c r="B72">
        <v>56000</v>
      </c>
      <c r="C72">
        <f>DB_R[[#This Row],[R (Ω)]]/1000</f>
        <v>56</v>
      </c>
      <c r="E72" s="119"/>
      <c r="F72" s="70"/>
    </row>
    <row r="73" spans="1:6" x14ac:dyDescent="0.35">
      <c r="A73" s="114" t="str">
        <f>IF(B73&gt;1000,C73&amp; "kΩ, ",B73&amp; "Ω, ")  &amp; DB_R[[#This Row],[Package (m)]]</f>
        <v xml:space="preserve">62kΩ, </v>
      </c>
      <c r="B73">
        <v>62000</v>
      </c>
      <c r="C73">
        <f>DB_R[[#This Row],[R (Ω)]]/1000</f>
        <v>62</v>
      </c>
      <c r="E73" s="119"/>
      <c r="F73" s="70"/>
    </row>
    <row r="74" spans="1:6" x14ac:dyDescent="0.35">
      <c r="A74" s="114" t="str">
        <f>IF(B74&gt;1000,C74&amp; "kΩ, ",B74&amp; "Ω, ")  &amp; DB_R[[#This Row],[Package (m)]]</f>
        <v xml:space="preserve">68kΩ, </v>
      </c>
      <c r="B74">
        <v>68000</v>
      </c>
      <c r="C74">
        <f>DB_R[[#This Row],[R (Ω)]]/1000</f>
        <v>68</v>
      </c>
      <c r="E74" s="119"/>
      <c r="F74" s="70"/>
    </row>
    <row r="75" spans="1:6" x14ac:dyDescent="0.35">
      <c r="A75" s="114" t="str">
        <f>IF(B75&gt;1000,C75&amp; "kΩ, ",B75&amp; "Ω, ")  &amp; DB_R[[#This Row],[Package (m)]]</f>
        <v xml:space="preserve">75kΩ, </v>
      </c>
      <c r="B75">
        <v>75000</v>
      </c>
      <c r="C75">
        <f>DB_R[[#This Row],[R (Ω)]]/1000</f>
        <v>75</v>
      </c>
      <c r="E75" s="119"/>
      <c r="F75" s="70"/>
    </row>
    <row r="76" spans="1:6" x14ac:dyDescent="0.35">
      <c r="A76" s="114" t="str">
        <f>IF(B76&gt;1000,C76&amp; "kΩ, ",B76&amp; "Ω, ")  &amp; DB_R[[#This Row],[Package (m)]]</f>
        <v xml:space="preserve">82kΩ, </v>
      </c>
      <c r="B76">
        <v>82000</v>
      </c>
      <c r="C76">
        <f>DB_R[[#This Row],[R (Ω)]]/1000</f>
        <v>82</v>
      </c>
      <c r="E76" s="119"/>
      <c r="F76" s="70"/>
    </row>
    <row r="77" spans="1:6" x14ac:dyDescent="0.35">
      <c r="A77" s="114" t="str">
        <f>IF(B77&gt;1000,C77&amp; "kΩ, ",B77&amp; "Ω, ")  &amp; DB_R[[#This Row],[Package (m)]]</f>
        <v xml:space="preserve">91kΩ, </v>
      </c>
      <c r="B77">
        <v>91000</v>
      </c>
      <c r="C77">
        <f>DB_R[[#This Row],[R (Ω)]]/1000</f>
        <v>91</v>
      </c>
      <c r="E77" s="119"/>
      <c r="F77" s="70"/>
    </row>
    <row r="78" spans="1:6" x14ac:dyDescent="0.35">
      <c r="A78" s="114" t="str">
        <f>IF(B78&gt;1000,C78&amp; "kΩ, ",B78&amp; "Ω, ")  &amp; DB_R[[#This Row],[Package (m)]]</f>
        <v xml:space="preserve">100kΩ, </v>
      </c>
      <c r="B78">
        <v>100000</v>
      </c>
      <c r="C78">
        <f>DB_R[[#This Row],[R (Ω)]]/1000</f>
        <v>100</v>
      </c>
      <c r="E78" s="119"/>
      <c r="F78" s="70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5AA7A-E64A-44C7-8D93-0215DB684C28}">
  <sheetPr>
    <tabColor theme="1" tint="0.499984740745262"/>
  </sheetPr>
  <dimension ref="A1:B2"/>
  <sheetViews>
    <sheetView workbookViewId="0">
      <selection activeCell="N30" sqref="N30"/>
    </sheetView>
  </sheetViews>
  <sheetFormatPr defaultRowHeight="14.5" x14ac:dyDescent="0.35"/>
  <cols>
    <col min="1" max="1" width="16.08984375" bestFit="1" customWidth="1"/>
    <col min="2" max="2" width="14.81640625" bestFit="1" customWidth="1"/>
  </cols>
  <sheetData>
    <row r="1" spans="1:2" x14ac:dyDescent="0.35">
      <c r="A1" t="s">
        <v>230</v>
      </c>
      <c r="B1" t="s">
        <v>233</v>
      </c>
    </row>
    <row r="2" spans="1:2" x14ac:dyDescent="0.35">
      <c r="A2" t="s">
        <v>231</v>
      </c>
      <c r="B2">
        <v>0.24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7E2C8-8C72-4CA2-881E-00A4D34D07F1}">
  <sheetPr>
    <tabColor theme="1" tint="0.499984740745262"/>
  </sheetPr>
  <dimension ref="A1:L20"/>
  <sheetViews>
    <sheetView zoomScale="115" zoomScaleNormal="115" workbookViewId="0">
      <selection activeCell="C3" sqref="C3"/>
    </sheetView>
  </sheetViews>
  <sheetFormatPr defaultRowHeight="14.5" x14ac:dyDescent="0.35"/>
  <cols>
    <col min="1" max="1" width="9" bestFit="1" customWidth="1"/>
    <col min="2" max="2" width="9.7265625" bestFit="1" customWidth="1"/>
    <col min="3" max="3" width="14.26953125" bestFit="1" customWidth="1"/>
    <col min="4" max="4" width="13.81640625" bestFit="1" customWidth="1"/>
    <col min="5" max="5" width="10.1796875" bestFit="1" customWidth="1"/>
    <col min="6" max="6" width="11.08984375" bestFit="1" customWidth="1"/>
    <col min="7" max="7" width="9.6328125" bestFit="1" customWidth="1"/>
  </cols>
  <sheetData>
    <row r="1" spans="1:12" x14ac:dyDescent="0.35">
      <c r="A1" t="s">
        <v>116</v>
      </c>
      <c r="B1" t="s">
        <v>98</v>
      </c>
      <c r="C1" t="s">
        <v>264</v>
      </c>
      <c r="D1" t="s">
        <v>156</v>
      </c>
      <c r="E1" t="s">
        <v>100</v>
      </c>
      <c r="F1" t="s">
        <v>99</v>
      </c>
      <c r="G1" t="s">
        <v>157</v>
      </c>
      <c r="H1" t="s">
        <v>163</v>
      </c>
      <c r="I1" t="s">
        <v>164</v>
      </c>
      <c r="J1" t="s">
        <v>165</v>
      </c>
      <c r="K1" t="s">
        <v>166</v>
      </c>
      <c r="L1" t="s">
        <v>161</v>
      </c>
    </row>
    <row r="2" spans="1:12" x14ac:dyDescent="0.35">
      <c r="A2" t="s">
        <v>228</v>
      </c>
      <c r="B2">
        <v>6</v>
      </c>
      <c r="C2">
        <v>0.5</v>
      </c>
      <c r="D2">
        <v>21.5</v>
      </c>
      <c r="E2">
        <v>0.7</v>
      </c>
      <c r="F2">
        <v>1.25</v>
      </c>
      <c r="G2">
        <v>10</v>
      </c>
      <c r="H2">
        <v>1</v>
      </c>
      <c r="I2">
        <v>1</v>
      </c>
      <c r="J2">
        <v>0.5</v>
      </c>
      <c r="K2">
        <v>0.35</v>
      </c>
      <c r="L2">
        <v>2.15</v>
      </c>
    </row>
    <row r="3" spans="1:12" x14ac:dyDescent="0.35">
      <c r="C3" s="1"/>
      <c r="D3" s="1"/>
    </row>
    <row r="4" spans="1:12" x14ac:dyDescent="0.35">
      <c r="C4" s="1"/>
      <c r="D4" s="1"/>
    </row>
    <row r="7" spans="1:12" x14ac:dyDescent="0.35">
      <c r="D7" s="65"/>
      <c r="E7" s="65"/>
    </row>
    <row r="8" spans="1:12" x14ac:dyDescent="0.35">
      <c r="D8" s="1"/>
      <c r="E8" s="1"/>
    </row>
    <row r="17" spans="8:8" x14ac:dyDescent="0.35">
      <c r="H17" s="36"/>
    </row>
    <row r="18" spans="8:8" x14ac:dyDescent="0.35">
      <c r="H18" s="36"/>
    </row>
    <row r="19" spans="8:8" x14ac:dyDescent="0.35">
      <c r="H19" s="36"/>
    </row>
    <row r="20" spans="8:8" x14ac:dyDescent="0.35">
      <c r="H20" s="36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3C654-DB60-432A-9C34-CEFBC44140F6}">
  <sheetPr>
    <tabColor theme="1" tint="0.499984740745262"/>
  </sheetPr>
  <dimension ref="A1:Q18"/>
  <sheetViews>
    <sheetView workbookViewId="0">
      <selection activeCell="A8" sqref="A8:Q8"/>
    </sheetView>
  </sheetViews>
  <sheetFormatPr defaultColWidth="10.90625" defaultRowHeight="14.5" x14ac:dyDescent="0.35"/>
  <cols>
    <col min="1" max="1" width="20" customWidth="1"/>
    <col min="2" max="2" width="13.54296875" customWidth="1"/>
    <col min="3" max="3" width="8.90625" bestFit="1" customWidth="1"/>
    <col min="4" max="4" width="21" bestFit="1" customWidth="1"/>
    <col min="5" max="5" width="22.26953125" bestFit="1" customWidth="1"/>
    <col min="6" max="6" width="17.7265625" customWidth="1"/>
    <col min="7" max="7" width="18.81640625" bestFit="1" customWidth="1"/>
    <col min="8" max="8" width="23.6328125" bestFit="1" customWidth="1"/>
    <col min="9" max="11" width="16.7265625" bestFit="1" customWidth="1"/>
    <col min="12" max="12" width="17.7265625" bestFit="1" customWidth="1"/>
    <col min="13" max="13" width="13.7265625" bestFit="1" customWidth="1"/>
    <col min="14" max="14" width="14.54296875" bestFit="1" customWidth="1"/>
    <col min="15" max="15" width="14.26953125" customWidth="1"/>
    <col min="16" max="16" width="11.453125" bestFit="1" customWidth="1"/>
    <col min="17" max="17" width="14.26953125" bestFit="1" customWidth="1"/>
  </cols>
  <sheetData>
    <row r="1" spans="1:17" x14ac:dyDescent="0.35">
      <c r="A1" t="s">
        <v>116</v>
      </c>
      <c r="B1" t="s">
        <v>104</v>
      </c>
      <c r="C1" t="s">
        <v>188</v>
      </c>
      <c r="D1" t="s">
        <v>109</v>
      </c>
      <c r="E1" t="s">
        <v>110</v>
      </c>
      <c r="F1" t="s">
        <v>200</v>
      </c>
      <c r="G1" t="s">
        <v>206</v>
      </c>
      <c r="H1" t="s">
        <v>222</v>
      </c>
      <c r="I1" t="s">
        <v>192</v>
      </c>
      <c r="J1" t="s">
        <v>201</v>
      </c>
      <c r="K1" t="s">
        <v>193</v>
      </c>
      <c r="L1" t="s">
        <v>202</v>
      </c>
      <c r="M1" t="s">
        <v>191</v>
      </c>
      <c r="N1" t="s">
        <v>111</v>
      </c>
      <c r="O1" t="s">
        <v>112</v>
      </c>
      <c r="P1" t="s">
        <v>194</v>
      </c>
      <c r="Q1" t="s">
        <v>181</v>
      </c>
    </row>
    <row r="2" spans="1:17" x14ac:dyDescent="0.35">
      <c r="A2" t="s">
        <v>106</v>
      </c>
      <c r="B2" t="s">
        <v>105</v>
      </c>
      <c r="C2">
        <v>60</v>
      </c>
      <c r="D2">
        <v>1.9</v>
      </c>
      <c r="E2">
        <v>2.4</v>
      </c>
      <c r="F2">
        <v>79.5</v>
      </c>
      <c r="G2" s="70" t="s">
        <v>197</v>
      </c>
      <c r="H2" s="70" t="s">
        <v>197</v>
      </c>
      <c r="I2" s="38">
        <v>120</v>
      </c>
      <c r="J2" s="38">
        <v>120</v>
      </c>
      <c r="K2" s="70">
        <v>32</v>
      </c>
      <c r="L2" s="70">
        <v>20</v>
      </c>
      <c r="M2">
        <v>128</v>
      </c>
      <c r="N2">
        <v>35.6</v>
      </c>
      <c r="O2">
        <v>42.2</v>
      </c>
      <c r="P2" t="s">
        <v>196</v>
      </c>
      <c r="Q2" t="s">
        <v>114</v>
      </c>
    </row>
    <row r="3" spans="1:17" x14ac:dyDescent="0.35">
      <c r="A3" t="s">
        <v>107</v>
      </c>
      <c r="B3" t="s">
        <v>108</v>
      </c>
      <c r="C3">
        <v>60</v>
      </c>
      <c r="D3">
        <v>0.93</v>
      </c>
      <c r="E3">
        <v>1.2</v>
      </c>
      <c r="F3">
        <v>120</v>
      </c>
      <c r="G3" s="70" t="s">
        <v>197</v>
      </c>
      <c r="H3" s="70" t="s">
        <v>197</v>
      </c>
      <c r="I3">
        <v>287</v>
      </c>
      <c r="J3">
        <v>200</v>
      </c>
      <c r="K3" s="70">
        <v>40</v>
      </c>
      <c r="L3" s="70">
        <v>28</v>
      </c>
      <c r="M3">
        <v>900</v>
      </c>
      <c r="N3">
        <v>79.099999999999994</v>
      </c>
      <c r="O3">
        <v>81.3</v>
      </c>
      <c r="P3" t="s">
        <v>196</v>
      </c>
      <c r="Q3" t="s">
        <v>115</v>
      </c>
    </row>
    <row r="4" spans="1:17" x14ac:dyDescent="0.35">
      <c r="A4" t="s">
        <v>189</v>
      </c>
      <c r="B4" t="s">
        <v>190</v>
      </c>
      <c r="C4">
        <v>60</v>
      </c>
      <c r="D4">
        <v>3.5</v>
      </c>
      <c r="E4">
        <v>4.8</v>
      </c>
      <c r="F4">
        <v>29</v>
      </c>
      <c r="G4" s="70" t="s">
        <v>197</v>
      </c>
      <c r="H4" s="70" t="s">
        <v>197</v>
      </c>
      <c r="I4">
        <v>72</v>
      </c>
      <c r="J4">
        <v>105</v>
      </c>
      <c r="K4" s="70" t="s">
        <v>208</v>
      </c>
      <c r="L4" s="70" t="s">
        <v>207</v>
      </c>
      <c r="M4">
        <v>200</v>
      </c>
      <c r="N4">
        <v>4</v>
      </c>
      <c r="O4">
        <v>5.0999999999999996</v>
      </c>
      <c r="P4" t="s">
        <v>195</v>
      </c>
      <c r="Q4" t="s">
        <v>114</v>
      </c>
    </row>
    <row r="5" spans="1:17" x14ac:dyDescent="0.35">
      <c r="A5" t="s">
        <v>198</v>
      </c>
      <c r="B5" t="s">
        <v>199</v>
      </c>
      <c r="C5">
        <v>60</v>
      </c>
      <c r="D5">
        <f>0.0035*1000</f>
        <v>3.5</v>
      </c>
      <c r="E5">
        <f>0.0044*1000</f>
        <v>4.4000000000000004</v>
      </c>
      <c r="F5">
        <v>31.5</v>
      </c>
      <c r="G5" s="70" t="s">
        <v>197</v>
      </c>
      <c r="H5" s="70" t="s">
        <v>197</v>
      </c>
      <c r="I5">
        <v>80.3</v>
      </c>
      <c r="J5">
        <v>64.2</v>
      </c>
      <c r="K5" s="70">
        <v>23.8</v>
      </c>
      <c r="L5" s="70">
        <v>19</v>
      </c>
      <c r="M5">
        <v>150</v>
      </c>
      <c r="N5">
        <v>6</v>
      </c>
      <c r="O5">
        <v>6</v>
      </c>
      <c r="P5" t="s">
        <v>196</v>
      </c>
      <c r="Q5" t="s">
        <v>115</v>
      </c>
    </row>
    <row r="6" spans="1:17" x14ac:dyDescent="0.35">
      <c r="A6" t="s">
        <v>204</v>
      </c>
      <c r="B6" t="s">
        <v>203</v>
      </c>
      <c r="C6">
        <v>60</v>
      </c>
      <c r="D6">
        <v>2.2999999999999998</v>
      </c>
      <c r="E6">
        <v>2.7</v>
      </c>
      <c r="F6">
        <v>43</v>
      </c>
      <c r="G6" s="70" t="s">
        <v>197</v>
      </c>
      <c r="H6" s="70" t="s">
        <v>197</v>
      </c>
      <c r="I6">
        <v>134</v>
      </c>
      <c r="J6">
        <v>84</v>
      </c>
      <c r="K6" s="70">
        <v>23</v>
      </c>
      <c r="L6" s="70" t="s">
        <v>210</v>
      </c>
      <c r="M6">
        <v>536</v>
      </c>
      <c r="N6">
        <v>4.8</v>
      </c>
      <c r="O6">
        <v>5.4</v>
      </c>
      <c r="P6" t="s">
        <v>196</v>
      </c>
      <c r="Q6" t="s">
        <v>205</v>
      </c>
    </row>
    <row r="7" spans="1:17" x14ac:dyDescent="0.35">
      <c r="A7" t="s">
        <v>209</v>
      </c>
      <c r="B7" t="s">
        <v>203</v>
      </c>
      <c r="C7">
        <v>60</v>
      </c>
      <c r="D7">
        <v>1.4</v>
      </c>
      <c r="E7">
        <v>1.6</v>
      </c>
      <c r="F7">
        <v>71</v>
      </c>
      <c r="G7">
        <v>95</v>
      </c>
      <c r="H7">
        <v>62</v>
      </c>
      <c r="I7">
        <v>234</v>
      </c>
      <c r="J7">
        <v>164</v>
      </c>
      <c r="K7" s="70">
        <v>31</v>
      </c>
      <c r="L7" s="70" t="s">
        <v>211</v>
      </c>
      <c r="M7">
        <v>936</v>
      </c>
      <c r="N7">
        <v>9</v>
      </c>
      <c r="O7">
        <v>9</v>
      </c>
      <c r="P7" t="s">
        <v>196</v>
      </c>
      <c r="Q7" t="s">
        <v>115</v>
      </c>
    </row>
    <row r="8" spans="1:17" x14ac:dyDescent="0.35">
      <c r="A8" t="s">
        <v>227</v>
      </c>
      <c r="B8" t="s">
        <v>221</v>
      </c>
      <c r="C8">
        <v>60</v>
      </c>
      <c r="D8">
        <v>1.8</v>
      </c>
      <c r="E8">
        <v>2.2000000000000002</v>
      </c>
      <c r="F8">
        <v>41</v>
      </c>
      <c r="G8">
        <v>53</v>
      </c>
      <c r="H8" s="70" t="s">
        <v>197</v>
      </c>
      <c r="I8">
        <v>100</v>
      </c>
      <c r="J8">
        <v>100</v>
      </c>
      <c r="K8" s="70">
        <v>29</v>
      </c>
      <c r="L8" s="70" t="s">
        <v>211</v>
      </c>
      <c r="M8">
        <v>400</v>
      </c>
      <c r="N8">
        <v>9</v>
      </c>
      <c r="O8">
        <v>3</v>
      </c>
      <c r="P8" t="s">
        <v>196</v>
      </c>
      <c r="Q8" t="s">
        <v>115</v>
      </c>
    </row>
    <row r="9" spans="1:17" x14ac:dyDescent="0.35">
      <c r="H9" s="70"/>
      <c r="K9" s="70"/>
      <c r="L9" s="70"/>
    </row>
    <row r="10" spans="1:17" x14ac:dyDescent="0.35">
      <c r="K10" s="70"/>
      <c r="L10" s="70"/>
    </row>
    <row r="11" spans="1:17" x14ac:dyDescent="0.35">
      <c r="K11" s="70"/>
      <c r="L11" s="70"/>
      <c r="N11" t="s">
        <v>223</v>
      </c>
      <c r="O11" t="s">
        <v>223</v>
      </c>
    </row>
    <row r="12" spans="1:17" x14ac:dyDescent="0.35">
      <c r="K12" s="70"/>
      <c r="L12" s="70"/>
    </row>
    <row r="13" spans="1:17" x14ac:dyDescent="0.35">
      <c r="K13" s="70"/>
      <c r="L13" s="70"/>
    </row>
    <row r="14" spans="1:17" x14ac:dyDescent="0.35">
      <c r="K14" s="70"/>
      <c r="L14" s="70"/>
    </row>
    <row r="15" spans="1:17" x14ac:dyDescent="0.35">
      <c r="K15" s="70"/>
      <c r="L15" s="70"/>
    </row>
    <row r="16" spans="1:17" x14ac:dyDescent="0.35">
      <c r="K16" s="70"/>
      <c r="L16" s="70"/>
    </row>
    <row r="17" spans="11:12" x14ac:dyDescent="0.35">
      <c r="K17" s="70"/>
      <c r="L17" s="70"/>
    </row>
    <row r="18" spans="11:12" x14ac:dyDescent="0.35">
      <c r="K18" s="70"/>
      <c r="L18" s="70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E525-5907-49C0-BD58-BC6F5A1389D5}">
  <sheetPr>
    <tabColor theme="1" tint="0.499984740745262"/>
  </sheetPr>
  <dimension ref="A1:G2"/>
  <sheetViews>
    <sheetView workbookViewId="0">
      <selection activeCell="D3" sqref="D3"/>
    </sheetView>
  </sheetViews>
  <sheetFormatPr defaultRowHeight="14.5" x14ac:dyDescent="0.35"/>
  <cols>
    <col min="1" max="1" width="18" customWidth="1"/>
    <col min="2" max="2" width="13.36328125" bestFit="1" customWidth="1"/>
    <col min="3" max="3" width="15.6328125" bestFit="1" customWidth="1"/>
    <col min="4" max="4" width="18.453125" customWidth="1"/>
    <col min="5" max="5" width="17.90625" bestFit="1" customWidth="1"/>
    <col min="6" max="6" width="14.6328125" customWidth="1"/>
  </cols>
  <sheetData>
    <row r="1" spans="1:7" x14ac:dyDescent="0.35">
      <c r="A1" t="s">
        <v>103</v>
      </c>
      <c r="B1" t="s">
        <v>315</v>
      </c>
      <c r="C1" t="s">
        <v>279</v>
      </c>
      <c r="D1" t="s">
        <v>326</v>
      </c>
      <c r="E1" t="s">
        <v>317</v>
      </c>
      <c r="F1" t="s">
        <v>318</v>
      </c>
      <c r="G1" t="s">
        <v>133</v>
      </c>
    </row>
    <row r="2" spans="1:7" x14ac:dyDescent="0.35">
      <c r="A2" t="s">
        <v>132</v>
      </c>
      <c r="B2">
        <v>3.3</v>
      </c>
      <c r="C2">
        <f>DB_ADC[[#This Row],[Vref,adc (V)]]+0.3</f>
        <v>3.5999999999999996</v>
      </c>
      <c r="D2">
        <v>5</v>
      </c>
      <c r="E2" s="114">
        <v>60</v>
      </c>
      <c r="F2" s="34">
        <f>1/DB_ADC[[#This Row],[Fadc,clock(MHz)]]*10^3</f>
        <v>16.666666666666668</v>
      </c>
      <c r="G2">
        <f>DB_ADC[[#This Row],[Vref,adc (V)]]+0.3</f>
        <v>3.5999999999999996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F4E60-E2C6-48B6-8B32-33733DDD0651}">
  <dimension ref="B2:N16"/>
  <sheetViews>
    <sheetView zoomScaleNormal="100" workbookViewId="0">
      <selection activeCell="D11" sqref="D11"/>
    </sheetView>
  </sheetViews>
  <sheetFormatPr defaultColWidth="10.90625" defaultRowHeight="14.5" x14ac:dyDescent="0.35"/>
  <cols>
    <col min="1" max="1" width="4.453125" customWidth="1"/>
    <col min="2" max="2" width="30.90625" bestFit="1" customWidth="1"/>
    <col min="3" max="3" width="10.90625" customWidth="1"/>
    <col min="4" max="4" width="10.26953125" customWidth="1"/>
    <col min="7" max="7" width="30.90625" bestFit="1" customWidth="1"/>
    <col min="10" max="10" width="30.90625" bestFit="1" customWidth="1"/>
  </cols>
  <sheetData>
    <row r="2" spans="2:14" x14ac:dyDescent="0.35">
      <c r="B2" s="32" t="s">
        <v>84</v>
      </c>
      <c r="C2" s="3" t="s">
        <v>72</v>
      </c>
      <c r="D2" s="3">
        <v>15</v>
      </c>
      <c r="E2" s="3" t="s">
        <v>49</v>
      </c>
    </row>
    <row r="3" spans="2:14" x14ac:dyDescent="0.35">
      <c r="B3" s="32" t="s">
        <v>73</v>
      </c>
      <c r="C3" s="3" t="s">
        <v>74</v>
      </c>
      <c r="D3" s="3">
        <v>95</v>
      </c>
      <c r="E3" s="3" t="s">
        <v>31</v>
      </c>
    </row>
    <row r="4" spans="2:14" x14ac:dyDescent="0.35">
      <c r="B4" s="32" t="s">
        <v>75</v>
      </c>
      <c r="C4" s="3" t="s">
        <v>76</v>
      </c>
      <c r="D4" s="3">
        <v>26</v>
      </c>
      <c r="E4" s="3" t="s">
        <v>2</v>
      </c>
    </row>
    <row r="5" spans="2:14" x14ac:dyDescent="0.35">
      <c r="B5" s="32" t="s">
        <v>77</v>
      </c>
      <c r="C5" s="3" t="s">
        <v>86</v>
      </c>
      <c r="D5" s="3">
        <v>1.2</v>
      </c>
      <c r="E5" s="3" t="s">
        <v>85</v>
      </c>
    </row>
    <row r="6" spans="2:14" x14ac:dyDescent="0.35">
      <c r="B6" s="32" t="s">
        <v>78</v>
      </c>
      <c r="C6" s="3" t="s">
        <v>79</v>
      </c>
      <c r="D6" s="3">
        <v>79</v>
      </c>
      <c r="E6" s="3" t="s">
        <v>15</v>
      </c>
    </row>
    <row r="7" spans="2:14" x14ac:dyDescent="0.35">
      <c r="B7" s="32" t="s">
        <v>80</v>
      </c>
      <c r="C7" s="3" t="s">
        <v>81</v>
      </c>
      <c r="D7" s="3">
        <v>81</v>
      </c>
      <c r="E7" s="3" t="s">
        <v>15</v>
      </c>
    </row>
    <row r="8" spans="2:14" x14ac:dyDescent="0.35">
      <c r="B8" s="32" t="s">
        <v>82</v>
      </c>
      <c r="C8" s="3" t="s">
        <v>83</v>
      </c>
      <c r="D8" s="3">
        <v>64</v>
      </c>
      <c r="E8" s="3" t="s">
        <v>24</v>
      </c>
      <c r="N8" s="31"/>
    </row>
    <row r="10" spans="2:14" x14ac:dyDescent="0.35">
      <c r="B10" s="32" t="s">
        <v>92</v>
      </c>
      <c r="C10" s="3" t="s">
        <v>87</v>
      </c>
      <c r="D10" s="33">
        <f>D5/1000*D2^2*D3/100</f>
        <v>0.25649999999999995</v>
      </c>
      <c r="E10" s="3" t="s">
        <v>88</v>
      </c>
    </row>
    <row r="11" spans="2:14" x14ac:dyDescent="0.35">
      <c r="B11" s="32" t="s">
        <v>89</v>
      </c>
      <c r="C11" s="3" t="s">
        <v>90</v>
      </c>
      <c r="D11" s="33">
        <f>1/2*D4*D2*(D6+D7)*D8/1000000</f>
        <v>1.9967999999999999</v>
      </c>
      <c r="E11" s="3" t="s">
        <v>88</v>
      </c>
    </row>
    <row r="12" spans="2:14" x14ac:dyDescent="0.35">
      <c r="B12" s="32" t="s">
        <v>93</v>
      </c>
      <c r="C12" s="3" t="s">
        <v>91</v>
      </c>
      <c r="D12" s="33">
        <f>D10*2+D11</f>
        <v>2.5097999999999998</v>
      </c>
      <c r="E12" s="3" t="s">
        <v>88</v>
      </c>
    </row>
    <row r="13" spans="2:14" x14ac:dyDescent="0.35">
      <c r="D13" s="34"/>
    </row>
    <row r="14" spans="2:14" x14ac:dyDescent="0.35">
      <c r="B14" t="s">
        <v>94</v>
      </c>
    </row>
    <row r="15" spans="2:14" x14ac:dyDescent="0.35">
      <c r="B15" t="s">
        <v>95</v>
      </c>
    </row>
    <row r="16" spans="2:14" x14ac:dyDescent="0.35">
      <c r="B16" t="s">
        <v>96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ACD3F01-14CE-4C7D-98F7-37B2C10E12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HMI</vt:lpstr>
      <vt:lpstr>CAL_Rv1-2</vt:lpstr>
      <vt:lpstr>CAL_VSENSE</vt:lpstr>
      <vt:lpstr>CAL_Rshunt</vt:lpstr>
      <vt:lpstr>CAL_Cboot</vt:lpstr>
      <vt:lpstr>CAL_Rg</vt:lpstr>
      <vt:lpstr>CAL_ISENSE_ARCH</vt:lpstr>
      <vt:lpstr>DB_LIMITS</vt:lpstr>
      <vt:lpstr>DB_R</vt:lpstr>
      <vt:lpstr>DB_D</vt:lpstr>
      <vt:lpstr>DB_GD</vt:lpstr>
      <vt:lpstr>DB_FETS</vt:lpstr>
      <vt:lpstr>DB_ADC</vt:lpstr>
      <vt:lpstr>Mosfet</vt:lpstr>
      <vt:lpstr>Radc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BINON Stepane</dc:creator>
  <cp:lastModifiedBy>BINON Stepane</cp:lastModifiedBy>
  <dcterms:created xsi:type="dcterms:W3CDTF">2026-02-03T11:31:37Z</dcterms:created>
  <dcterms:modified xsi:type="dcterms:W3CDTF">2026-02-19T14:43:54Z</dcterms:modified>
</cp:coreProperties>
</file>