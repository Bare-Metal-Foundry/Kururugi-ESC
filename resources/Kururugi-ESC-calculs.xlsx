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99B2B5A0-7BBE-4CD2-A323-6C36F872F9B2}" xr6:coauthVersionLast="47" xr6:coauthVersionMax="47" xr10:uidLastSave="{00000000-0000-0000-0000-000000000000}"/>
  <bookViews>
    <workbookView xWindow="5775" yWindow="-16320" windowWidth="29040" windowHeight="15720" activeTab="3" xr2:uid="{A7311F5B-F8BB-4208-8795-7C9379CFEF1C}"/>
  </bookViews>
  <sheets>
    <sheet name="Vsensing computation" sheetId="1" r:id="rId1"/>
    <sheet name="Isensing computation" sheetId="2" r:id="rId2"/>
    <sheet name="Mosfet" sheetId="3" r:id="rId3"/>
    <sheet name="GD Cboo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K35" i="1" s="1"/>
  <c r="D35" i="1"/>
  <c r="H35" i="1" s="1"/>
  <c r="AB2" i="4"/>
  <c r="AB3" i="4"/>
  <c r="Z3" i="4"/>
  <c r="S3" i="4"/>
  <c r="U3" i="4" s="1"/>
  <c r="M3" i="4"/>
  <c r="C3" i="4"/>
  <c r="F3" i="4" s="1"/>
  <c r="C2" i="4"/>
  <c r="W2" i="4" s="1"/>
  <c r="Z2" i="4"/>
  <c r="M2" i="4"/>
  <c r="S2" i="4"/>
  <c r="U2" i="4" s="1"/>
  <c r="D10" i="3"/>
  <c r="D11" i="3"/>
  <c r="D12" i="3" s="1"/>
  <c r="G35" i="1" l="1"/>
  <c r="E35" i="1"/>
  <c r="F35" i="1"/>
  <c r="J35" i="1"/>
  <c r="W3" i="4"/>
  <c r="N3" i="4"/>
  <c r="P3" i="4" s="1"/>
  <c r="F2" i="4"/>
  <c r="N2" i="4" s="1"/>
  <c r="Q2" i="4" s="1"/>
  <c r="C7" i="2"/>
  <c r="R7" i="1"/>
  <c r="N24" i="1"/>
  <c r="N14" i="1"/>
  <c r="N15" i="1" s="1"/>
  <c r="C6" i="2"/>
  <c r="D6" i="2"/>
  <c r="E6" i="2" s="1"/>
  <c r="C8" i="2"/>
  <c r="B4" i="2"/>
  <c r="B5" i="2" s="1"/>
  <c r="B7" i="2" s="1"/>
  <c r="B8" i="2" s="1"/>
  <c r="J11" i="2"/>
  <c r="J12" i="2" s="1"/>
  <c r="N13" i="1"/>
  <c r="N12" i="1"/>
  <c r="R3" i="1"/>
  <c r="R4" i="1" s="1"/>
  <c r="N5" i="1"/>
  <c r="C8" i="1" s="1"/>
  <c r="I8" i="1" s="1"/>
  <c r="J8" i="1" s="1"/>
  <c r="N22" i="1"/>
  <c r="R6" i="1" s="1"/>
  <c r="Q3" i="4" l="1"/>
  <c r="V3" i="4" s="1"/>
  <c r="AA3" i="4" s="1"/>
  <c r="AC3" i="4"/>
  <c r="AC2" i="4"/>
  <c r="V2" i="4"/>
  <c r="AA2" i="4" s="1"/>
  <c r="F6" i="2"/>
  <c r="G6" i="2" s="1"/>
  <c r="R8" i="1"/>
  <c r="R5" i="1"/>
  <c r="N25" i="1"/>
  <c r="N26" i="1" s="1"/>
  <c r="D8" i="1"/>
  <c r="C15" i="1"/>
  <c r="D15" i="1" s="1"/>
  <c r="C14" i="1"/>
  <c r="D14" i="1" s="1"/>
  <c r="C22" i="1"/>
  <c r="D22" i="1" s="1"/>
  <c r="C21" i="1"/>
  <c r="C19" i="1"/>
  <c r="C18" i="1"/>
  <c r="C17" i="1"/>
  <c r="D17" i="1" s="1"/>
  <c r="C20" i="1"/>
  <c r="D20" i="1" s="1"/>
  <c r="C16" i="1"/>
  <c r="D16" i="1" s="1"/>
  <c r="C5" i="2"/>
  <c r="C4" i="2"/>
  <c r="D5" i="2"/>
  <c r="D7" i="2"/>
  <c r="D4" i="2"/>
  <c r="E4" i="2" s="1"/>
  <c r="D8" i="2"/>
  <c r="B9" i="2"/>
  <c r="C9" i="2" s="1"/>
  <c r="K8" i="1"/>
  <c r="C33" i="1"/>
  <c r="D33" i="1" s="1"/>
  <c r="C13" i="1"/>
  <c r="D13" i="1" s="1"/>
  <c r="C10" i="1"/>
  <c r="D10" i="1" s="1"/>
  <c r="C9" i="1"/>
  <c r="D9" i="1" s="1"/>
  <c r="C7" i="1"/>
  <c r="D7" i="1" s="1"/>
  <c r="G7" i="1" s="1"/>
  <c r="C5" i="1"/>
  <c r="D5" i="1" s="1"/>
  <c r="C6" i="1"/>
  <c r="D6" i="1" s="1"/>
  <c r="C12" i="1"/>
  <c r="D12" i="1" s="1"/>
  <c r="C11" i="1"/>
  <c r="D11" i="1" s="1"/>
  <c r="C4" i="1"/>
  <c r="C31" i="1"/>
  <c r="D31" i="1" s="1"/>
  <c r="C32" i="1"/>
  <c r="D32" i="1" s="1"/>
  <c r="C29" i="1"/>
  <c r="D29" i="1" s="1"/>
  <c r="C30" i="1"/>
  <c r="D30" i="1" s="1"/>
  <c r="C24" i="1"/>
  <c r="D24" i="1" s="1"/>
  <c r="C28" i="1"/>
  <c r="D28" i="1" s="1"/>
  <c r="C27" i="1"/>
  <c r="D27" i="1" s="1"/>
  <c r="C26" i="1"/>
  <c r="D26" i="1" s="1"/>
  <c r="C25" i="1"/>
  <c r="D25" i="1" s="1"/>
  <c r="C23" i="1"/>
  <c r="D23" i="1" s="1"/>
  <c r="N27" i="1" l="1"/>
  <c r="D21" i="1"/>
  <c r="G21" i="1" s="1"/>
  <c r="D18" i="1"/>
  <c r="H18" i="1" s="1"/>
  <c r="I19" i="1"/>
  <c r="K19" i="1" s="1"/>
  <c r="D19" i="1"/>
  <c r="H19" i="1" s="1"/>
  <c r="I18" i="1"/>
  <c r="J18" i="1" s="1"/>
  <c r="I4" i="1"/>
  <c r="K4" i="1" s="1"/>
  <c r="D4" i="1"/>
  <c r="I22" i="1"/>
  <c r="I21" i="1"/>
  <c r="J21" i="1" s="1"/>
  <c r="I14" i="1"/>
  <c r="I15" i="1"/>
  <c r="I17" i="1"/>
  <c r="I16" i="1"/>
  <c r="G8" i="1"/>
  <c r="H8" i="1"/>
  <c r="I20" i="1"/>
  <c r="I26" i="1"/>
  <c r="K26" i="1" s="1"/>
  <c r="I28" i="1"/>
  <c r="J28" i="1" s="1"/>
  <c r="I29" i="1"/>
  <c r="J29" i="1" s="1"/>
  <c r="F8" i="1"/>
  <c r="I27" i="1"/>
  <c r="J27" i="1" s="1"/>
  <c r="I24" i="1"/>
  <c r="J24" i="1" s="1"/>
  <c r="I31" i="1"/>
  <c r="J31" i="1" s="1"/>
  <c r="I32" i="1"/>
  <c r="K32" i="1" s="1"/>
  <c r="I11" i="1"/>
  <c r="K11" i="1" s="1"/>
  <c r="I30" i="1"/>
  <c r="K30" i="1" s="1"/>
  <c r="I12" i="1"/>
  <c r="J12" i="1" s="1"/>
  <c r="I6" i="1"/>
  <c r="J6" i="1" s="1"/>
  <c r="I5" i="1"/>
  <c r="K5" i="1" s="1"/>
  <c r="I7" i="1"/>
  <c r="K7" i="1" s="1"/>
  <c r="I23" i="1"/>
  <c r="K23" i="1" s="1"/>
  <c r="I9" i="1"/>
  <c r="J9" i="1" s="1"/>
  <c r="I25" i="1"/>
  <c r="K25" i="1" s="1"/>
  <c r="I10" i="1"/>
  <c r="J10" i="1" s="1"/>
  <c r="E7" i="2"/>
  <c r="F7" i="2"/>
  <c r="F8" i="2"/>
  <c r="G8" i="2" s="1"/>
  <c r="E8" i="2"/>
  <c r="F4" i="2"/>
  <c r="G4" i="2" s="1"/>
  <c r="F5" i="2"/>
  <c r="G5" i="2" s="1"/>
  <c r="E5" i="2"/>
  <c r="D9" i="2"/>
  <c r="B10" i="2"/>
  <c r="C10" i="2" s="1"/>
  <c r="I33" i="1"/>
  <c r="K33" i="1" s="1"/>
  <c r="E8" i="1"/>
  <c r="I13" i="1"/>
  <c r="K18" i="1" l="1"/>
  <c r="G18" i="1"/>
  <c r="F21" i="1"/>
  <c r="E21" i="1"/>
  <c r="F18" i="1"/>
  <c r="J19" i="1"/>
  <c r="J5" i="1"/>
  <c r="K21" i="1"/>
  <c r="E18" i="1"/>
  <c r="H21" i="1"/>
  <c r="F19" i="1"/>
  <c r="E19" i="1"/>
  <c r="F15" i="1"/>
  <c r="H15" i="1"/>
  <c r="E15" i="1"/>
  <c r="G15" i="1"/>
  <c r="G14" i="1"/>
  <c r="E14" i="1"/>
  <c r="F14" i="1"/>
  <c r="H14" i="1"/>
  <c r="G19" i="1"/>
  <c r="J22" i="1"/>
  <c r="K22" i="1"/>
  <c r="J15" i="1"/>
  <c r="K15" i="1"/>
  <c r="J14" i="1"/>
  <c r="K14" i="1"/>
  <c r="E22" i="1"/>
  <c r="F22" i="1"/>
  <c r="H22" i="1"/>
  <c r="G22" i="1"/>
  <c r="G17" i="1"/>
  <c r="H17" i="1"/>
  <c r="E17" i="1"/>
  <c r="F17" i="1"/>
  <c r="J17" i="1"/>
  <c r="K17" i="1"/>
  <c r="K28" i="1"/>
  <c r="F27" i="1"/>
  <c r="G27" i="1"/>
  <c r="H27" i="1"/>
  <c r="F26" i="1"/>
  <c r="G26" i="1"/>
  <c r="H26" i="1"/>
  <c r="H20" i="1"/>
  <c r="G20" i="1"/>
  <c r="E20" i="1"/>
  <c r="F20" i="1"/>
  <c r="G5" i="1"/>
  <c r="F5" i="1"/>
  <c r="H5" i="1"/>
  <c r="F33" i="1"/>
  <c r="G33" i="1"/>
  <c r="H33" i="1"/>
  <c r="F24" i="1"/>
  <c r="H24" i="1"/>
  <c r="G24" i="1"/>
  <c r="F10" i="1"/>
  <c r="H10" i="1"/>
  <c r="G10" i="1"/>
  <c r="F25" i="1"/>
  <c r="G25" i="1"/>
  <c r="H25" i="1"/>
  <c r="F28" i="1"/>
  <c r="H28" i="1"/>
  <c r="G28" i="1"/>
  <c r="F12" i="1"/>
  <c r="H12" i="1"/>
  <c r="G12" i="1"/>
  <c r="F6" i="1"/>
  <c r="G6" i="1"/>
  <c r="H6" i="1"/>
  <c r="F7" i="1"/>
  <c r="H7" i="1"/>
  <c r="F31" i="1"/>
  <c r="H31" i="1"/>
  <c r="G31" i="1"/>
  <c r="F32" i="1"/>
  <c r="G32" i="1"/>
  <c r="H32" i="1"/>
  <c r="F13" i="1"/>
  <c r="H13" i="1"/>
  <c r="G13" i="1"/>
  <c r="K16" i="1"/>
  <c r="J16" i="1"/>
  <c r="F30" i="1"/>
  <c r="H30" i="1"/>
  <c r="G30" i="1"/>
  <c r="F23" i="1"/>
  <c r="H23" i="1"/>
  <c r="G23" i="1"/>
  <c r="J20" i="1"/>
  <c r="K20" i="1"/>
  <c r="F11" i="1"/>
  <c r="H11" i="1"/>
  <c r="G11" i="1"/>
  <c r="F4" i="1"/>
  <c r="H4" i="1"/>
  <c r="G4" i="1"/>
  <c r="F29" i="1"/>
  <c r="G29" i="1"/>
  <c r="H29" i="1"/>
  <c r="F9" i="1"/>
  <c r="H9" i="1"/>
  <c r="G9" i="1"/>
  <c r="G16" i="1"/>
  <c r="H16" i="1"/>
  <c r="F16" i="1"/>
  <c r="E16" i="1"/>
  <c r="J26" i="1"/>
  <c r="J4" i="1"/>
  <c r="E33" i="1"/>
  <c r="J11" i="1"/>
  <c r="J23" i="1"/>
  <c r="K10" i="1"/>
  <c r="K29" i="1"/>
  <c r="K27" i="1"/>
  <c r="K24" i="1"/>
  <c r="J25" i="1"/>
  <c r="K31" i="1"/>
  <c r="K6" i="1"/>
  <c r="J32" i="1"/>
  <c r="J7" i="1"/>
  <c r="K12" i="1"/>
  <c r="K9" i="1"/>
  <c r="J30" i="1"/>
  <c r="G7" i="2"/>
  <c r="E9" i="2"/>
  <c r="F9" i="2"/>
  <c r="G9" i="2" s="1"/>
  <c r="B11" i="2"/>
  <c r="C11" i="2" s="1"/>
  <c r="D10" i="2"/>
  <c r="E9" i="1"/>
  <c r="J33" i="1"/>
  <c r="E10" i="1"/>
  <c r="K13" i="1"/>
  <c r="J13" i="1"/>
  <c r="E13" i="1"/>
  <c r="E7" i="1"/>
  <c r="E5" i="1"/>
  <c r="E12" i="1"/>
  <c r="E11" i="1"/>
  <c r="E6" i="1"/>
  <c r="E4" i="1"/>
  <c r="E31" i="1"/>
  <c r="E30" i="1"/>
  <c r="E25" i="1"/>
  <c r="E32" i="1"/>
  <c r="E29" i="1"/>
  <c r="E24" i="1"/>
  <c r="E27" i="1"/>
  <c r="E26" i="1"/>
  <c r="E23" i="1"/>
  <c r="E28" i="1"/>
  <c r="F10" i="2" l="1"/>
  <c r="G10" i="2" s="1"/>
  <c r="E10" i="2"/>
  <c r="B12" i="2"/>
  <c r="C12" i="2" s="1"/>
  <c r="D11" i="2"/>
  <c r="E11" i="2" l="1"/>
  <c r="F11" i="2"/>
  <c r="G11" i="2" s="1"/>
  <c r="B13" i="2"/>
  <c r="C13" i="2" s="1"/>
  <c r="D12" i="2"/>
  <c r="E12" i="2" l="1"/>
  <c r="F12" i="2"/>
  <c r="G12" i="2" s="1"/>
  <c r="B14" i="2"/>
  <c r="C14" i="2" s="1"/>
  <c r="D13" i="2"/>
  <c r="E13" i="2" l="1"/>
  <c r="F13" i="2"/>
  <c r="G13" i="2" s="1"/>
  <c r="D14" i="2"/>
  <c r="E14" i="2" l="1"/>
  <c r="F14" i="2"/>
  <c r="G14" i="2" s="1"/>
</calcChain>
</file>

<file path=xl/sharedStrings.xml><?xml version="1.0" encoding="utf-8"?>
<sst xmlns="http://schemas.openxmlformats.org/spreadsheetml/2006/main" count="178" uniqueCount="138">
  <si>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</si>
  <si>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</si>
  <si>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</si>
  <si>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</si>
  <si>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</si>
  <si>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</si>
  <si>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</si>
  <si>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</si>
  <si>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</si>
  <si>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</si>
  <si>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</si>
  <si>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</si>
  <si>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</si>
  <si>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</si>
  <si>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</si>
  <si>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</si>
  <si>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</si>
  <si>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</si>
  <si>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</si>
  <si>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</si>
  <si>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</si>
  <si>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</si>
  <si>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</si>
  <si>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</si>
  <si>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</si>
  <si>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</si>
  <si>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</si>
  <si>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</si>
  <si>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</si>
  <si>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</si>
  <si>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</si>
  <si>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</si>
  <si>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</si>
  <si>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</si>
  <si>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</si>
  <si>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</si>
  <si>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</si>
  <si>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</si>
  <si>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</si>
  <si>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</si>
  <si>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</si>
  <si>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</si>
  <si>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</si>
  <si>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</si>
  <si>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</si>
  <si>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</si>
  <si>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</si>
  <si>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</si>
  <si>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</si>
  <si>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</si>
  <si>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</si>
  <si>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</si>
  <si>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</si>
  <si>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</si>
  <si>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Maximal Ibus</t>
  </si>
  <si>
    <t>Mean Iph</t>
  </si>
  <si>
    <t>Duty Cycle</t>
  </si>
  <si>
    <t>mV</t>
  </si>
  <si>
    <t>Voltage drop (mV)</t>
  </si>
  <si>
    <t>Disspated power (W)</t>
  </si>
  <si>
    <t>Rshunt (µOhm)</t>
  </si>
  <si>
    <t>Physic analysis of the Vsensing</t>
  </si>
  <si>
    <t>Physic analysis of the Isensing</t>
  </si>
  <si>
    <t>Res_adc_eff (steps)</t>
  </si>
  <si>
    <t>mV/s</t>
  </si>
  <si>
    <t>OPAMP gain</t>
  </si>
  <si>
    <t>Res_adcopamp_eff (steps)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</si>
  <si>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</si>
  <si>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</si>
  <si>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</si>
  <si>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</si>
  <si>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</si>
  <si>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</si>
  <si>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</si>
  <si>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</si>
  <si>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</si>
  <si>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</si>
  <si>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</si>
  <si>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</si>
  <si>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</si>
  <si>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</si>
  <si>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</si>
  <si>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</si>
  <si>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</si>
  <si>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</si>
  <si>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</si>
  <si>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</si>
  <si>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</si>
  <si>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</si>
  <si>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</si>
  <si>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</si>
  <si>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</si>
  <si>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</si>
  <si>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</si>
  <si>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</si>
  <si>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</si>
  <si>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</si>
  <si>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</si>
  <si>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</si>
  <si>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</si>
  <si>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</si>
  <si>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</si>
  <si>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Sizing the ESC for 4 motors at 15A</t>
  </si>
  <si>
    <t>Sizing for max duty cycle of 95%</t>
  </si>
  <si>
    <t>V2 will be rated for 20A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</si>
  <si>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</si>
  <si>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</si>
  <si>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</si>
  <si>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</si>
  <si>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</si>
  <si>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Vhbh (V)</t>
  </si>
  <si>
    <t>Qg (nC)</t>
  </si>
  <si>
    <t>Ipulldown (mA)</t>
  </si>
  <si>
    <t>Ihbs (mA)</t>
  </si>
  <si>
    <t>Ihb (mA)</t>
  </si>
  <si>
    <t>Fsw min (kHz)</t>
  </si>
  <si>
    <t>Qt (nC)</t>
  </si>
  <si>
    <t>Cbootmin (nC)</t>
  </si>
  <si>
    <t>V0 (V)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</si>
  <si>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Vbootmax (V)</t>
    </r>
  </si>
  <si>
    <t>ΔVboot (V)</t>
  </si>
  <si>
    <t>Vddboot (V)</t>
  </si>
  <si>
    <t>C secu (NU)</t>
  </si>
  <si>
    <t>Fmax (kHz)</t>
  </si>
  <si>
    <t>Max duty (%)</t>
  </si>
  <si>
    <t>Toff (µs)</t>
  </si>
  <si>
    <t>Toff secu (NU)</t>
  </si>
  <si>
    <t>Tcharge (µs)</t>
  </si>
  <si>
    <t>Vfinal (V)</t>
  </si>
  <si>
    <r>
      <t>Rfint (</t>
    </r>
    <r>
      <rPr>
        <sz val="11"/>
        <color theme="1"/>
        <rFont val="Aptos Narrow"/>
        <family val="2"/>
      </rPr>
      <t>Ω)</t>
    </r>
  </si>
  <si>
    <t>Rf (Ω)</t>
  </si>
  <si>
    <t>Rfext (Ω)</t>
  </si>
  <si>
    <t>Vf,100mA (V)</t>
  </si>
  <si>
    <t>Vr,100mA (V)</t>
  </si>
  <si>
    <t>Imaxext (A)</t>
  </si>
  <si>
    <t>3Tau (µs)</t>
  </si>
  <si>
    <t>Cboot (nF)</t>
  </si>
  <si>
    <t>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</si>
</sst>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1" fontId="0" fillId="4" borderId="1" xfId="0" applyNumberFormat="1" applyFill="1" applyBorder="1" applyAlignment="1">
      <alignment horizontal="center"/>
    </xf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A5C38-85C7-4CC9-A2E7-8CC77C0ABABE}" name="Tableau1" displayName="Tableau1" ref="A1:AC3" totalsRowShown="0" dataDxfId="32">
  <autoFilter ref="A1:AC3" xr:uid="{B25A5C38-85C7-4CC9-A2E7-8CC77C0ABABE}"/>
  <sortState xmlns:xlrd2="http://schemas.microsoft.com/office/spreadsheetml/2017/richdata2" ref="A2:AC3">
    <sortCondition ref="A1:A3"/>
  </sortState>
  <tableColumns count="29">
    <tableColumn id="1" xr3:uid="{8D98E4BE-CBC8-4993-8988-6AA9DD987F18}" name="Vdd (V)" dataDxfId="31"/>
    <tableColumn id="2" xr3:uid="{9D660013-882C-48E1-9078-C0D5B2A80597}" name="Vf,100mA (V)" dataDxfId="30"/>
    <tableColumn id="28" xr3:uid="{36BE38BC-4343-43D2-A6AB-DF7CBCB8D288}" name="Vr,100mA (V)" dataDxfId="29">
      <calculatedColumnFormula>Tableau1[[#This Row],[Rfext (Ω)]]*0.1</calculatedColumnFormula>
    </tableColumn>
    <tableColumn id="3" xr3:uid="{3510157E-7A02-4689-8664-3BE0329D115D}" name="Vhbr (V)" dataDxfId="28"/>
    <tableColumn id="4" xr3:uid="{ECB1DE36-B875-416D-8E2C-DEF25492B782}" name="Vhbh (V)" dataDxfId="27"/>
    <tableColumn id="5" xr3:uid="{FD7B4A02-8912-4F70-8F8F-E3160EF255C7}" name="ΔVbootmax (V)" dataDxfId="26">
      <calculatedColumnFormula>A2-B2-D2-E2-Tableau1[[#This Row],[Vr,100mA (V)]]</calculatedColumnFormula>
    </tableColumn>
    <tableColumn id="6" xr3:uid="{67DE6560-3A18-4706-8C36-B17ACB24E0A0}" name="Qg (nC)" dataDxfId="25"/>
    <tableColumn id="7" xr3:uid="{1F6CBA99-F458-419E-95F9-04D2A3D6DC26}" name="Ihb (mA)" dataDxfId="24"/>
    <tableColumn id="8" xr3:uid="{BABC204A-8EFE-4167-9EF4-887D78DD0CDA}" name="Ihbs (mA)" dataDxfId="23"/>
    <tableColumn id="9" xr3:uid="{BA788F06-CA53-4E0A-AE4D-896E43A6EDE5}" name="Ipulldown (mA)" dataDxfId="22"/>
    <tableColumn id="10" xr3:uid="{DB260FB3-06E8-4730-847C-5E6BD063D326}" name="Max duty (%)" dataDxfId="21"/>
    <tableColumn id="11" xr3:uid="{1CBF1355-D31F-456C-80BE-6CC8C444F650}" name="Fsw min (kHz)" dataDxfId="20"/>
    <tableColumn id="12" xr3:uid="{1E038DBA-495F-43B9-B606-822FB74520D5}" name="Qt (nC)" dataDxfId="19">
      <calculatedColumnFormula>(G2*10^-9+H2/L2*10^-6+(I2+J2)/L2*10^-6*K2/100)/10^-9</calculatedColumnFormula>
    </tableColumn>
    <tableColumn id="13" xr3:uid="{C79274CC-E2A1-41D2-A761-D54CC7A29829}" name="Cbootmin (nC)" dataDxfId="18">
      <calculatedColumnFormula>M2/F2</calculatedColumnFormula>
    </tableColumn>
    <tableColumn id="14" xr3:uid="{FA3E1CDB-C23D-4FB1-B19E-9DA04D3955EB}" name="C secu (NU)" dataDxfId="17"/>
    <tableColumn id="15" xr3:uid="{F2329A40-7530-43DD-9A8D-D9481FE6DDA8}" name="Cboot (nF)" dataDxfId="16">
      <calculatedColumnFormula>N2*O2</calculatedColumnFormula>
    </tableColumn>
    <tableColumn id="16" xr3:uid="{E7529637-516C-4BAC-9F9C-F3BCAD77EB6C}" name="ΔVboot (V)" dataDxfId="15">
      <calculatedColumnFormula>P2/M2</calculatedColumnFormula>
    </tableColumn>
    <tableColumn id="17" xr3:uid="{A1106862-E575-4A15-BDC9-291F1DC16EA8}" name="Fmax (kHz)" dataDxfId="14"/>
    <tableColumn id="18" xr3:uid="{ED56DF9B-39E7-4337-92AA-A19107C957F6}" name="Toff (µs)" dataDxfId="13">
      <calculatedColumnFormula>1/R2/1000*(1-K2/100)*1000000</calculatedColumnFormula>
    </tableColumn>
    <tableColumn id="19" xr3:uid="{5EF5F032-1924-4722-B113-497A8A53F9F9}" name="Toff secu (NU)" dataDxfId="12"/>
    <tableColumn id="20" xr3:uid="{317078D3-172D-4084-B914-D44E27AF4622}" name="Tcharge (µs)" dataDxfId="11">
      <calculatedColumnFormula>S2/T2</calculatedColumnFormula>
    </tableColumn>
    <tableColumn id="21" xr3:uid="{C74CCBDA-ECD0-48F4-BDD1-B7B52CDCD12C}" name="V0 (V)" dataDxfId="10">
      <calculatedColumnFormula>A2-B2-Q2-Tableau1[[#This Row],[Vr,100mA (V)]]</calculatedColumnFormula>
    </tableColumn>
    <tableColumn id="22" xr3:uid="{24CB70CF-920B-4509-9638-5D3F89476E1B}" name="Vddboot (V)" dataDxfId="9">
      <calculatedColumnFormula>A2-B2-Tableau1[[#This Row],[Vr,100mA (V)]]</calculatedColumnFormula>
    </tableColumn>
    <tableColumn id="23" xr3:uid="{97086D48-76D1-44FE-9798-1E4B672A9D3C}" name="Rfint (Ω)" dataDxfId="8"/>
    <tableColumn id="25" xr3:uid="{CA25B27B-2081-46A3-A11C-C04EC8E9925A}" name="Rfext (Ω)" dataDxfId="7"/>
    <tableColumn id="26" xr3:uid="{D571851B-D502-4394-822B-26D2605F0715}" name="Rf (Ω)" dataDxfId="6">
      <calculatedColumnFormula>IF(Tableau1[[#This Row],[Rfext (Ω)]]&gt;0, 1/(1/Tableau1[[#This Row],[Rfint (Ω)]]+1/Tableau1[[#This Row],[Rfext (Ω)]]), Tableau1[[#This Row],[Rfint (Ω)]])</calculatedColumnFormula>
    </tableColumn>
    <tableColumn id="24" xr3:uid="{C72492AB-BD7B-405B-867F-5ADF45417C24}" name="Vfinal (V)" dataDxfId="5">
      <calculatedColumnFormula>(V2-W2)*EXP(-U2*10^-6/Tableau1[[#This Row],[Rf (Ω)]]/(P2*10^-9))+W2</calculatedColumnFormula>
    </tableColumn>
    <tableColumn id="30" xr3:uid="{4A2A1E44-66D8-4309-9DC7-637AF6F8770A}" name="Imaxext (A)" dataDxfId="4">
      <calculatedColumnFormula>IF(Tableau1[[#This Row],[Rfext (Ω)]]&gt;0,Tableau1[[#This Row],[Vdd (V)]]/Tableau1[[#This Row],[Rfext (Ω)]],0)</calculatedColumnFormula>
    </tableColumn>
    <tableColumn id="31" xr3:uid="{B3DB0F25-7B1B-46E1-B7A4-6C280BA75465}" name="3Tau (µs)" dataDxfId="3">
      <calculatedColumnFormula>IF(Tableau1[[#This Row],[Imaxext (A)]]&gt;0,3*Tableau1[[#This Row],[Rf (Ω)]]*Tableau1[[#This Row],[Cboot (nF)]]*10^-3,0)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S41"/>
  <sheetViews>
    <sheetView zoomScale="85" zoomScaleNormal="85" workbookViewId="0">
      <selection activeCell="H41" sqref="H41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12.7265625" bestFit="1" customWidth="1"/>
    <col min="7" max="7" width="11.1796875" bestFit="1" customWidth="1"/>
    <col min="8" max="8" width="13.7265625" bestFit="1" customWidth="1"/>
    <col min="9" max="9" width="11.6328125" bestFit="1" customWidth="1"/>
    <col min="10" max="11" width="17.453125" bestFit="1" customWidth="1"/>
    <col min="12" max="12" width="2.81640625" bestFit="1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41" t="s">
        <v>61</v>
      </c>
      <c r="C2" s="42"/>
      <c r="D2" s="42"/>
      <c r="E2" s="42"/>
      <c r="F2" s="42"/>
      <c r="G2" s="42"/>
      <c r="H2" s="42"/>
      <c r="I2" s="42"/>
      <c r="J2" s="42"/>
      <c r="K2" s="43"/>
      <c r="M2" s="8" t="s">
        <v>22</v>
      </c>
      <c r="N2" s="2">
        <v>45</v>
      </c>
      <c r="O2" s="3" t="s">
        <v>2</v>
      </c>
      <c r="Q2" s="8" t="s">
        <v>27</v>
      </c>
      <c r="R2" s="2">
        <v>12</v>
      </c>
      <c r="S2" s="3" t="s">
        <v>28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69</v>
      </c>
      <c r="G3" s="4" t="s">
        <v>68</v>
      </c>
      <c r="H3" s="4" t="s">
        <v>37</v>
      </c>
      <c r="I3" s="4" t="s">
        <v>10</v>
      </c>
      <c r="J3" s="4" t="s">
        <v>45</v>
      </c>
      <c r="K3" s="4" t="s">
        <v>44</v>
      </c>
      <c r="M3" s="8" t="s">
        <v>23</v>
      </c>
      <c r="N3" s="2">
        <v>25</v>
      </c>
      <c r="O3" s="3" t="s">
        <v>2</v>
      </c>
      <c r="Q3" s="8" t="s">
        <v>27</v>
      </c>
      <c r="R3" s="2">
        <f>2^R2</f>
        <v>4096</v>
      </c>
      <c r="S3" s="3" t="s">
        <v>29</v>
      </c>
    </row>
    <row r="4" spans="2:19" x14ac:dyDescent="0.35">
      <c r="B4" s="5">
        <v>0.1</v>
      </c>
      <c r="C4" s="5">
        <f t="shared" ref="C4:C22" si="0">B4/$N$5</f>
        <v>1.4000000000000001</v>
      </c>
      <c r="D4" s="6">
        <f>B4*C4/(B4+C4)+$N$17/1000</f>
        <v>0.14033333333333331</v>
      </c>
      <c r="E4" s="7">
        <f t="shared" ref="E4:E22" si="1">$N$4/D4</f>
        <v>21.37767220902613</v>
      </c>
      <c r="F4" s="6">
        <f t="shared" ref="F4:F33" si="2">IF($N$9=0,$N$23*($N$8+$N$7)*D4,$N$23*(0.1)*D4)</f>
        <v>0.14033333333333331</v>
      </c>
      <c r="G4" s="6">
        <f>$N$9*D4*$N$14</f>
        <v>140.33333333333331</v>
      </c>
      <c r="H4" s="6">
        <f>1/(2*PI()*($N$8+$N$7+$N$9)*D4)*1000</f>
        <v>9.8619194314920176</v>
      </c>
      <c r="I4" s="7">
        <f>$N$3*$N$3/(C4+B4)</f>
        <v>416.66666666666663</v>
      </c>
      <c r="J4" s="7">
        <f t="shared" ref="J4:J33" si="3">I4*$R$10/1000</f>
        <v>33.333333333333329</v>
      </c>
      <c r="K4" s="7">
        <f t="shared" ref="K4:K33" si="4">I4*$R$11/1000</f>
        <v>62.499999999999993</v>
      </c>
      <c r="M4" s="8" t="s">
        <v>74</v>
      </c>
      <c r="N4" s="2">
        <v>3</v>
      </c>
      <c r="O4" s="3" t="s">
        <v>2</v>
      </c>
      <c r="Q4" s="8" t="s">
        <v>27</v>
      </c>
      <c r="R4" s="16">
        <f>N2/R3</f>
        <v>1.0986328125E-2</v>
      </c>
      <c r="S4" s="3" t="s">
        <v>30</v>
      </c>
    </row>
    <row r="5" spans="2:19" x14ac:dyDescent="0.35">
      <c r="B5" s="5">
        <v>0.2</v>
      </c>
      <c r="C5" s="5">
        <f t="shared" si="0"/>
        <v>2.8000000000000003</v>
      </c>
      <c r="D5" s="6">
        <f t="shared" ref="D5:D33" si="5">B5*C5/(B5+C5)+$N$17/1000</f>
        <v>0.23366666666666663</v>
      </c>
      <c r="E5" s="7">
        <f t="shared" si="1"/>
        <v>12.83880171184023</v>
      </c>
      <c r="F5" s="6">
        <f t="shared" si="2"/>
        <v>0.23366666666666663</v>
      </c>
      <c r="G5" s="6">
        <f>$N$9*D5*$N$14</f>
        <v>233.66666666666663</v>
      </c>
      <c r="H5" s="6">
        <f t="shared" ref="H5:H33" si="6">1/(2*PI()*($N$8+$N$7+$N$9)*D5)*1000</f>
        <v>5.9227790023653926</v>
      </c>
      <c r="I5" s="7">
        <f t="shared" ref="I5:I13" si="7">$N$3*$N$3/(C5+B5)</f>
        <v>208.33333333333331</v>
      </c>
      <c r="J5" s="7">
        <f t="shared" si="3"/>
        <v>16.666666666666664</v>
      </c>
      <c r="K5" s="7">
        <f t="shared" si="4"/>
        <v>31.249999999999996</v>
      </c>
      <c r="M5" s="8" t="s">
        <v>5</v>
      </c>
      <c r="N5" s="5">
        <f>N4/(N2-N4)</f>
        <v>7.1428571428571425E-2</v>
      </c>
      <c r="O5" s="3" t="s">
        <v>6</v>
      </c>
      <c r="Q5" s="8" t="s">
        <v>31</v>
      </c>
      <c r="R5" s="9">
        <f>N3/R4</f>
        <v>2275.5555555555557</v>
      </c>
      <c r="S5" s="3" t="s">
        <v>29</v>
      </c>
    </row>
    <row r="6" spans="2:19" x14ac:dyDescent="0.35">
      <c r="B6" s="5">
        <v>0.3</v>
      </c>
      <c r="C6" s="5">
        <f t="shared" si="0"/>
        <v>4.2</v>
      </c>
      <c r="D6" s="6">
        <f t="shared" si="5"/>
        <v>0.32700000000000001</v>
      </c>
      <c r="E6" s="7">
        <f t="shared" si="1"/>
        <v>9.1743119266055047</v>
      </c>
      <c r="F6" s="6">
        <f t="shared" si="2"/>
        <v>0.32700000000000001</v>
      </c>
      <c r="G6" s="6">
        <f t="shared" ref="G6:G33" si="8">$N$9*D6*$N$14</f>
        <v>327</v>
      </c>
      <c r="H6" s="6">
        <f t="shared" si="6"/>
        <v>4.2322814277860745</v>
      </c>
      <c r="I6" s="7">
        <f t="shared" si="7"/>
        <v>138.88888888888889</v>
      </c>
      <c r="J6" s="7">
        <f t="shared" si="3"/>
        <v>11.111111111111111</v>
      </c>
      <c r="K6" s="7">
        <f t="shared" si="4"/>
        <v>20.833333333333332</v>
      </c>
      <c r="N6" s="1"/>
      <c r="Q6" s="8" t="s">
        <v>78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5.6000000000000005</v>
      </c>
      <c r="D7" s="6">
        <f t="shared" si="5"/>
        <v>0.42033333333333328</v>
      </c>
      <c r="E7" s="7">
        <f t="shared" si="1"/>
        <v>7.1371927042030148</v>
      </c>
      <c r="F7" s="6">
        <f t="shared" si="2"/>
        <v>0.42033333333333328</v>
      </c>
      <c r="G7" s="6">
        <f>$N$9*D7*$N$14</f>
        <v>420.33333333333331</v>
      </c>
      <c r="H7" s="6">
        <f t="shared" si="6"/>
        <v>3.2925202860096268</v>
      </c>
      <c r="I7" s="7">
        <f t="shared" si="7"/>
        <v>104.16666666666666</v>
      </c>
      <c r="J7" s="7">
        <f t="shared" si="3"/>
        <v>8.3333333333333321</v>
      </c>
      <c r="K7" s="7">
        <f t="shared" si="4"/>
        <v>15.624999999999998</v>
      </c>
      <c r="M7" s="8" t="s">
        <v>7</v>
      </c>
      <c r="N7" s="2">
        <v>5</v>
      </c>
      <c r="O7" s="3" t="s">
        <v>9</v>
      </c>
      <c r="Q7" s="8" t="s">
        <v>77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7</v>
      </c>
      <c r="D8" s="6">
        <f t="shared" si="5"/>
        <v>0.51366666666666672</v>
      </c>
      <c r="E8" s="7">
        <f t="shared" si="1"/>
        <v>5.8403634003893572</v>
      </c>
      <c r="F8" s="6">
        <f t="shared" si="2"/>
        <v>0.51366666666666672</v>
      </c>
      <c r="G8" s="6">
        <f t="shared" si="8"/>
        <v>513.66666666666674</v>
      </c>
      <c r="H8" s="6">
        <f t="shared" si="6"/>
        <v>2.6942687090578445</v>
      </c>
      <c r="I8" s="7">
        <f t="shared" si="7"/>
        <v>83.333333333333329</v>
      </c>
      <c r="J8" s="7">
        <f t="shared" si="3"/>
        <v>6.6666666666666661</v>
      </c>
      <c r="K8" s="7">
        <f t="shared" si="4"/>
        <v>12.5</v>
      </c>
      <c r="M8" s="8" t="s">
        <v>8</v>
      </c>
      <c r="N8" s="2">
        <v>10</v>
      </c>
      <c r="O8" s="3" t="s">
        <v>9</v>
      </c>
      <c r="Q8" s="8" t="s">
        <v>79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8.4</v>
      </c>
      <c r="D9" s="6">
        <f t="shared" si="5"/>
        <v>0.6070000000000001</v>
      </c>
      <c r="E9" s="7">
        <f t="shared" si="1"/>
        <v>4.942339373970345</v>
      </c>
      <c r="F9" s="6">
        <f t="shared" si="2"/>
        <v>0.6070000000000001</v>
      </c>
      <c r="G9" s="6">
        <f t="shared" si="8"/>
        <v>607.00000000000011</v>
      </c>
      <c r="H9" s="6">
        <f t="shared" si="6"/>
        <v>2.2799934545074896</v>
      </c>
      <c r="I9" s="7">
        <f t="shared" si="7"/>
        <v>69.444444444444443</v>
      </c>
      <c r="J9" s="7">
        <f t="shared" si="3"/>
        <v>5.5555555555555554</v>
      </c>
      <c r="K9" s="7">
        <f t="shared" si="4"/>
        <v>10.416666666666666</v>
      </c>
      <c r="M9" s="8" t="s">
        <v>38</v>
      </c>
      <c r="N9" s="17">
        <v>100</v>
      </c>
      <c r="O9" s="3" t="s">
        <v>9</v>
      </c>
    </row>
    <row r="10" spans="2:19" x14ac:dyDescent="0.35">
      <c r="B10" s="5">
        <v>0.7</v>
      </c>
      <c r="C10" s="5">
        <f t="shared" si="0"/>
        <v>9.8000000000000007</v>
      </c>
      <c r="D10" s="6">
        <f t="shared" si="5"/>
        <v>0.70033333333333336</v>
      </c>
      <c r="E10" s="7">
        <f t="shared" si="1"/>
        <v>4.2836744407425034</v>
      </c>
      <c r="F10" s="6">
        <f t="shared" si="2"/>
        <v>0.70033333333333336</v>
      </c>
      <c r="G10" s="6">
        <f t="shared" si="8"/>
        <v>700.33333333333326</v>
      </c>
      <c r="H10" s="6">
        <f t="shared" si="6"/>
        <v>1.9761390198277671</v>
      </c>
      <c r="I10" s="7">
        <f t="shared" si="7"/>
        <v>59.523809523809526</v>
      </c>
      <c r="J10" s="7">
        <f t="shared" si="3"/>
        <v>4.7619047619047628</v>
      </c>
      <c r="K10" s="7">
        <f t="shared" si="4"/>
        <v>8.9285714285714288</v>
      </c>
      <c r="M10" s="8" t="s">
        <v>42</v>
      </c>
      <c r="N10" s="2">
        <v>128</v>
      </c>
      <c r="O10" s="3" t="s">
        <v>26</v>
      </c>
      <c r="Q10" s="8" t="s">
        <v>46</v>
      </c>
      <c r="R10" s="2">
        <v>80</v>
      </c>
      <c r="S10" s="3" t="s">
        <v>34</v>
      </c>
    </row>
    <row r="11" spans="2:19" x14ac:dyDescent="0.35">
      <c r="B11" s="5">
        <v>0.8</v>
      </c>
      <c r="C11" s="5">
        <f t="shared" si="0"/>
        <v>11.200000000000001</v>
      </c>
      <c r="D11" s="6">
        <f t="shared" si="5"/>
        <v>0.79366666666666663</v>
      </c>
      <c r="E11" s="7">
        <f t="shared" si="1"/>
        <v>3.7799244015119697</v>
      </c>
      <c r="F11" s="6">
        <f t="shared" si="2"/>
        <v>0.79366666666666663</v>
      </c>
      <c r="G11" s="6">
        <f t="shared" si="8"/>
        <v>793.66666666666663</v>
      </c>
      <c r="H11" s="6">
        <f t="shared" si="6"/>
        <v>1.7437497188820406</v>
      </c>
      <c r="I11" s="7">
        <f t="shared" si="7"/>
        <v>52.083333333333329</v>
      </c>
      <c r="J11" s="7">
        <f t="shared" si="3"/>
        <v>4.1666666666666661</v>
      </c>
      <c r="K11" s="7">
        <f t="shared" si="4"/>
        <v>7.8124999999999991</v>
      </c>
      <c r="M11" s="8" t="s">
        <v>47</v>
      </c>
      <c r="N11" s="2">
        <v>5</v>
      </c>
      <c r="O11" s="3" t="s">
        <v>6</v>
      </c>
      <c r="Q11" s="8" t="s">
        <v>43</v>
      </c>
      <c r="R11" s="2">
        <v>150</v>
      </c>
      <c r="S11" s="3" t="s">
        <v>34</v>
      </c>
    </row>
    <row r="12" spans="2:19" x14ac:dyDescent="0.35">
      <c r="B12" s="5">
        <v>0.9</v>
      </c>
      <c r="C12" s="5">
        <f t="shared" si="0"/>
        <v>12.600000000000001</v>
      </c>
      <c r="D12" s="6">
        <f t="shared" si="5"/>
        <v>0.88700000000000001</v>
      </c>
      <c r="E12" s="7">
        <f t="shared" si="1"/>
        <v>3.3821871476888385</v>
      </c>
      <c r="F12" s="6">
        <f t="shared" si="2"/>
        <v>0.88700000000000001</v>
      </c>
      <c r="G12" s="6">
        <f t="shared" si="8"/>
        <v>887</v>
      </c>
      <c r="H12" s="6">
        <f t="shared" si="6"/>
        <v>1.5602660957001651</v>
      </c>
      <c r="I12" s="7">
        <f t="shared" si="7"/>
        <v>46.296296296296291</v>
      </c>
      <c r="J12" s="7">
        <f t="shared" si="3"/>
        <v>3.7037037037037033</v>
      </c>
      <c r="K12" s="7">
        <f t="shared" si="4"/>
        <v>6.9444444444444438</v>
      </c>
      <c r="M12" s="8" t="s">
        <v>48</v>
      </c>
      <c r="N12" s="6">
        <f>(1-1/SQRT(1+(N10/N11/N10)^2))*100</f>
        <v>1.9419324309079888</v>
      </c>
      <c r="O12" s="3" t="s">
        <v>33</v>
      </c>
      <c r="Q12" s="8" t="s">
        <v>36</v>
      </c>
      <c r="R12" s="17">
        <v>80</v>
      </c>
      <c r="S12" s="18" t="s">
        <v>35</v>
      </c>
    </row>
    <row r="13" spans="2:19" x14ac:dyDescent="0.35">
      <c r="B13" s="5">
        <v>1</v>
      </c>
      <c r="C13" s="5">
        <f t="shared" si="0"/>
        <v>14</v>
      </c>
      <c r="D13" s="6">
        <f t="shared" si="5"/>
        <v>0.98033333333333339</v>
      </c>
      <c r="E13" s="7">
        <f t="shared" si="1"/>
        <v>3.0601836110166607</v>
      </c>
      <c r="F13" s="6">
        <f t="shared" si="2"/>
        <v>0.98033333333333339</v>
      </c>
      <c r="G13" s="6">
        <f t="shared" si="8"/>
        <v>980.33333333333348</v>
      </c>
      <c r="H13" s="6">
        <f t="shared" si="6"/>
        <v>1.4117198506148039</v>
      </c>
      <c r="I13" s="7">
        <f t="shared" si="7"/>
        <v>41.666666666666664</v>
      </c>
      <c r="J13" s="7">
        <f t="shared" si="3"/>
        <v>3.333333333333333</v>
      </c>
      <c r="K13" s="7">
        <f t="shared" si="4"/>
        <v>6.25</v>
      </c>
      <c r="M13" s="8" t="s">
        <v>49</v>
      </c>
      <c r="N13" s="9">
        <f>ATAN(N10/N11/N10)/PI()*180</f>
        <v>11.309932474020215</v>
      </c>
      <c r="O13" s="3" t="s">
        <v>50</v>
      </c>
    </row>
    <row r="14" spans="2:19" x14ac:dyDescent="0.35">
      <c r="B14" s="5">
        <v>1.1000000000000001</v>
      </c>
      <c r="C14" s="5">
        <f t="shared" si="0"/>
        <v>15.400000000000002</v>
      </c>
      <c r="D14" s="6">
        <f t="shared" si="5"/>
        <v>1.0736666666666668</v>
      </c>
      <c r="E14" s="7">
        <f t="shared" si="1"/>
        <v>2.7941633033219495</v>
      </c>
      <c r="F14" s="6">
        <f t="shared" si="2"/>
        <v>1.0736666666666668</v>
      </c>
      <c r="G14" s="6">
        <f t="shared" si="8"/>
        <v>1073.6666666666667</v>
      </c>
      <c r="H14" s="6">
        <f t="shared" si="6"/>
        <v>1.2889997145787455</v>
      </c>
      <c r="I14" s="7">
        <f t="shared" ref="I14:I21" si="9">$N$3*$N$3/(C14+B14)</f>
        <v>37.878787878787868</v>
      </c>
      <c r="J14" s="7">
        <f t="shared" si="3"/>
        <v>3.0303030303030294</v>
      </c>
      <c r="K14" s="7">
        <f t="shared" si="4"/>
        <v>5.6818181818181799</v>
      </c>
      <c r="M14" s="8" t="s">
        <v>70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16.8</v>
      </c>
      <c r="D15" s="6">
        <f t="shared" si="5"/>
        <v>1.167</v>
      </c>
      <c r="E15" s="7">
        <f t="shared" si="1"/>
        <v>2.5706940874035991</v>
      </c>
      <c r="F15" s="6">
        <f t="shared" si="2"/>
        <v>1.167</v>
      </c>
      <c r="G15" s="6">
        <f t="shared" si="8"/>
        <v>1167</v>
      </c>
      <c r="H15" s="6">
        <f t="shared" si="6"/>
        <v>1.1859091918475118</v>
      </c>
      <c r="I15" s="7">
        <f t="shared" si="9"/>
        <v>34.722222222222221</v>
      </c>
      <c r="J15" s="7">
        <f t="shared" si="3"/>
        <v>2.7777777777777777</v>
      </c>
      <c r="K15" s="7">
        <f t="shared" si="4"/>
        <v>5.208333333333333</v>
      </c>
      <c r="M15" s="8" t="s">
        <v>32</v>
      </c>
      <c r="N15" s="5">
        <f>(EXP(-N14))*100</f>
        <v>4.5399929762484853E-3</v>
      </c>
      <c r="O15" s="3" t="s">
        <v>33</v>
      </c>
      <c r="Q15" t="s">
        <v>18</v>
      </c>
    </row>
    <row r="16" spans="2:19" x14ac:dyDescent="0.35">
      <c r="B16" s="5">
        <v>1.3</v>
      </c>
      <c r="C16" s="5">
        <f t="shared" si="0"/>
        <v>18.200000000000003</v>
      </c>
      <c r="D16" s="6">
        <f t="shared" si="5"/>
        <v>1.2603333333333333</v>
      </c>
      <c r="E16" s="7">
        <f t="shared" si="1"/>
        <v>2.3803226659613861</v>
      </c>
      <c r="F16" s="6">
        <f t="shared" si="2"/>
        <v>1.2603333333333333</v>
      </c>
      <c r="G16" s="6">
        <f t="shared" si="8"/>
        <v>1260.3333333333333</v>
      </c>
      <c r="H16" s="6">
        <f t="shared" si="6"/>
        <v>1.0980872998302404</v>
      </c>
      <c r="I16" s="7">
        <f t="shared" si="9"/>
        <v>32.051282051282044</v>
      </c>
      <c r="J16" s="7">
        <f t="shared" si="3"/>
        <v>2.5641025641025634</v>
      </c>
      <c r="K16" s="7">
        <f t="shared" si="4"/>
        <v>4.8076923076923066</v>
      </c>
      <c r="M16" s="8" t="s">
        <v>72</v>
      </c>
      <c r="N16" s="2">
        <v>480</v>
      </c>
      <c r="O16" s="3" t="s">
        <v>15</v>
      </c>
      <c r="Q16" s="10" t="s">
        <v>24</v>
      </c>
    </row>
    <row r="17" spans="2:17" x14ac:dyDescent="0.35">
      <c r="B17" s="5">
        <v>1.4</v>
      </c>
      <c r="C17" s="5">
        <f t="shared" si="0"/>
        <v>19.600000000000001</v>
      </c>
      <c r="D17" s="6">
        <f t="shared" si="5"/>
        <v>1.3536666666666666</v>
      </c>
      <c r="E17" s="7">
        <f t="shared" si="1"/>
        <v>2.2162029056882542</v>
      </c>
      <c r="F17" s="6">
        <f t="shared" si="2"/>
        <v>1.3536666666666666</v>
      </c>
      <c r="G17" s="6">
        <f t="shared" si="8"/>
        <v>1353.6666666666665</v>
      </c>
      <c r="H17" s="6">
        <f t="shared" si="6"/>
        <v>1.0223757893765426</v>
      </c>
      <c r="I17" s="7">
        <f t="shared" si="9"/>
        <v>29.761904761904763</v>
      </c>
      <c r="J17" s="7">
        <f t="shared" si="3"/>
        <v>2.3809523809523814</v>
      </c>
      <c r="K17" s="7">
        <f t="shared" si="4"/>
        <v>4.4642857142857144</v>
      </c>
      <c r="M17" s="8" t="s">
        <v>75</v>
      </c>
      <c r="N17" s="2">
        <v>47</v>
      </c>
      <c r="O17" s="3" t="s">
        <v>76</v>
      </c>
    </row>
    <row r="18" spans="2:17" ht="15" thickBot="1" x14ac:dyDescent="0.4">
      <c r="B18" s="5">
        <v>1.5</v>
      </c>
      <c r="C18" s="5">
        <f t="shared" si="0"/>
        <v>21</v>
      </c>
      <c r="D18" s="6">
        <f t="shared" si="5"/>
        <v>1.4469999999999998</v>
      </c>
      <c r="E18" s="7">
        <f t="shared" si="1"/>
        <v>2.0732550103662755</v>
      </c>
      <c r="F18" s="6">
        <f t="shared" si="2"/>
        <v>1.4469999999999998</v>
      </c>
      <c r="G18" s="6">
        <f t="shared" si="8"/>
        <v>1447</v>
      </c>
      <c r="H18" s="6">
        <f t="shared" si="6"/>
        <v>0.95643125562269971</v>
      </c>
      <c r="I18" s="7">
        <f t="shared" si="9"/>
        <v>27.777777777777779</v>
      </c>
      <c r="J18" s="7">
        <f t="shared" si="3"/>
        <v>2.2222222222222223</v>
      </c>
      <c r="K18" s="7">
        <f t="shared" si="4"/>
        <v>4.166666666666667</v>
      </c>
      <c r="Q18" t="s">
        <v>19</v>
      </c>
    </row>
    <row r="19" spans="2:17" x14ac:dyDescent="0.35">
      <c r="B19" s="5">
        <v>1.6</v>
      </c>
      <c r="C19" s="5">
        <f t="shared" si="0"/>
        <v>22.400000000000002</v>
      </c>
      <c r="D19" s="6">
        <f t="shared" si="5"/>
        <v>1.5403333333333331</v>
      </c>
      <c r="E19" s="7">
        <f t="shared" si="1"/>
        <v>1.9476303830339756</v>
      </c>
      <c r="F19" s="6">
        <f t="shared" si="2"/>
        <v>1.5403333333333331</v>
      </c>
      <c r="G19" s="6">
        <f t="shared" si="8"/>
        <v>1540.333333333333</v>
      </c>
      <c r="H19" s="6">
        <f t="shared" si="6"/>
        <v>0.89847826891541649</v>
      </c>
      <c r="I19" s="7">
        <f t="shared" si="9"/>
        <v>26.041666666666664</v>
      </c>
      <c r="J19" s="7">
        <f t="shared" si="3"/>
        <v>2.083333333333333</v>
      </c>
      <c r="K19" s="7">
        <f t="shared" si="4"/>
        <v>3.9062499999999996</v>
      </c>
      <c r="M19" s="38" t="s">
        <v>25</v>
      </c>
      <c r="N19" s="39"/>
      <c r="O19" s="40"/>
      <c r="Q19" t="s">
        <v>20</v>
      </c>
    </row>
    <row r="20" spans="2:17" x14ac:dyDescent="0.35">
      <c r="B20" s="5">
        <v>1.7</v>
      </c>
      <c r="C20" s="5">
        <f t="shared" si="0"/>
        <v>23.8</v>
      </c>
      <c r="D20" s="6">
        <f t="shared" si="5"/>
        <v>1.6336666666666666</v>
      </c>
      <c r="E20" s="7">
        <f t="shared" si="1"/>
        <v>1.836359926545603</v>
      </c>
      <c r="F20" s="6">
        <f t="shared" si="2"/>
        <v>1.6336666666666666</v>
      </c>
      <c r="G20" s="6">
        <f t="shared" si="8"/>
        <v>1633.6666666666667</v>
      </c>
      <c r="H20" s="6">
        <f t="shared" si="6"/>
        <v>0.84714712929160152</v>
      </c>
      <c r="I20" s="7">
        <f t="shared" si="9"/>
        <v>24.509803921568629</v>
      </c>
      <c r="J20" s="7">
        <f t="shared" si="3"/>
        <v>1.9607843137254903</v>
      </c>
      <c r="K20" s="7">
        <f t="shared" si="4"/>
        <v>3.6764705882352944</v>
      </c>
      <c r="M20" s="12" t="s">
        <v>11</v>
      </c>
      <c r="N20" s="2"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25.200000000000003</v>
      </c>
      <c r="D21" s="6">
        <f t="shared" si="5"/>
        <v>1.7269999999999999</v>
      </c>
      <c r="E21" s="7">
        <f t="shared" si="1"/>
        <v>1.7371163867979156</v>
      </c>
      <c r="F21" s="6">
        <f t="shared" si="2"/>
        <v>1.7269999999999999</v>
      </c>
      <c r="G21" s="6">
        <f t="shared" si="8"/>
        <v>1727</v>
      </c>
      <c r="H21" s="6">
        <f t="shared" si="6"/>
        <v>0.80136423097049603</v>
      </c>
      <c r="I21" s="7">
        <f t="shared" si="9"/>
        <v>23.148148148148145</v>
      </c>
      <c r="J21" s="7">
        <f t="shared" si="3"/>
        <v>1.8518518518518516</v>
      </c>
      <c r="K21" s="7">
        <f t="shared" si="4"/>
        <v>3.4722222222222219</v>
      </c>
      <c r="M21" s="12" t="s">
        <v>12</v>
      </c>
      <c r="N21" s="2">
        <v>60</v>
      </c>
      <c r="O21" s="13" t="s">
        <v>13</v>
      </c>
    </row>
    <row r="22" spans="2:17" x14ac:dyDescent="0.35">
      <c r="B22" s="5">
        <v>1.9</v>
      </c>
      <c r="C22" s="5">
        <f t="shared" si="0"/>
        <v>26.6</v>
      </c>
      <c r="D22" s="6">
        <f t="shared" si="5"/>
        <v>1.8203333333333331</v>
      </c>
      <c r="E22" s="7">
        <f t="shared" si="1"/>
        <v>1.6480498077275225</v>
      </c>
      <c r="F22" s="6">
        <f t="shared" si="2"/>
        <v>1.8203333333333331</v>
      </c>
      <c r="G22" s="6">
        <f t="shared" si="8"/>
        <v>1820.333333333333</v>
      </c>
      <c r="H22" s="6">
        <f t="shared" si="6"/>
        <v>0.76027615467096499</v>
      </c>
      <c r="I22" s="7">
        <f t="shared" ref="I22" si="10">$N$3*$N$3/(C22+B22)</f>
        <v>21.92982456140351</v>
      </c>
      <c r="J22" s="7">
        <f t="shared" si="3"/>
        <v>1.7543859649122808</v>
      </c>
      <c r="K22" s="7">
        <f t="shared" si="4"/>
        <v>3.2894736842105265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28</v>
      </c>
      <c r="D23" s="6">
        <f t="shared" si="5"/>
        <v>1.9136666666666666</v>
      </c>
      <c r="E23" s="7">
        <f t="shared" ref="E23:E33" si="12">$N$4/D23</f>
        <v>1.567671137432503</v>
      </c>
      <c r="F23" s="6">
        <f t="shared" si="2"/>
        <v>1.9136666666666666</v>
      </c>
      <c r="G23" s="6">
        <f t="shared" si="8"/>
        <v>1913.6666666666667</v>
      </c>
      <c r="H23" s="6">
        <f t="shared" si="6"/>
        <v>0.72319597294167204</v>
      </c>
      <c r="I23" s="7">
        <f t="shared" ref="I23:I33" si="13">$N$3*$N$3/(C23+B23)</f>
        <v>20.833333333333332</v>
      </c>
      <c r="J23" s="7">
        <f t="shared" si="3"/>
        <v>1.6666666666666665</v>
      </c>
      <c r="K23" s="7">
        <f t="shared" si="4"/>
        <v>3.125</v>
      </c>
      <c r="M23" s="12" t="s">
        <v>71</v>
      </c>
      <c r="N23" s="2">
        <v>10</v>
      </c>
      <c r="O23" s="13" t="s">
        <v>6</v>
      </c>
    </row>
    <row r="24" spans="2:17" x14ac:dyDescent="0.35">
      <c r="B24" s="5">
        <v>3</v>
      </c>
      <c r="C24" s="5">
        <f t="shared" si="11"/>
        <v>42</v>
      </c>
      <c r="D24" s="6">
        <f t="shared" si="5"/>
        <v>2.847</v>
      </c>
      <c r="E24" s="7">
        <f t="shared" si="12"/>
        <v>1.053740779768177</v>
      </c>
      <c r="F24" s="6">
        <f t="shared" si="2"/>
        <v>2.847</v>
      </c>
      <c r="G24" s="6">
        <f t="shared" si="8"/>
        <v>2847</v>
      </c>
      <c r="H24" s="6">
        <f t="shared" si="6"/>
        <v>0.48611030097859032</v>
      </c>
      <c r="I24" s="7">
        <f t="shared" si="13"/>
        <v>13.888888888888889</v>
      </c>
      <c r="J24" s="7">
        <f t="shared" si="3"/>
        <v>1.1111111111111112</v>
      </c>
      <c r="K24" s="7">
        <f t="shared" si="4"/>
        <v>2.0833333333333335</v>
      </c>
      <c r="M24" s="12" t="s">
        <v>32</v>
      </c>
      <c r="N24" s="5">
        <f>(EXP(-N23))*100</f>
        <v>4.5399929762484853E-3</v>
      </c>
      <c r="O24" s="13" t="s">
        <v>33</v>
      </c>
    </row>
    <row r="25" spans="2:17" x14ac:dyDescent="0.35">
      <c r="B25" s="5">
        <v>4</v>
      </c>
      <c r="C25" s="5">
        <f t="shared" si="11"/>
        <v>56</v>
      </c>
      <c r="D25" s="6">
        <f t="shared" si="5"/>
        <v>3.7803333333333335</v>
      </c>
      <c r="E25" s="7">
        <f t="shared" si="12"/>
        <v>0.79358081297945504</v>
      </c>
      <c r="F25" s="6">
        <f t="shared" si="2"/>
        <v>3.7803333333333335</v>
      </c>
      <c r="G25" s="6">
        <f t="shared" si="8"/>
        <v>3780.3333333333335</v>
      </c>
      <c r="H25" s="6">
        <f t="shared" si="6"/>
        <v>0.36609364964801505</v>
      </c>
      <c r="I25" s="7">
        <f t="shared" si="13"/>
        <v>10.416666666666666</v>
      </c>
      <c r="J25" s="7">
        <f t="shared" si="3"/>
        <v>0.83333333333333326</v>
      </c>
      <c r="K25" s="7">
        <f t="shared" si="4"/>
        <v>1.5625</v>
      </c>
      <c r="M25" s="12" t="s">
        <v>32</v>
      </c>
      <c r="N25" s="5">
        <f>N24*R3/100</f>
        <v>0.18595811230713796</v>
      </c>
      <c r="O25" s="13" t="s">
        <v>29</v>
      </c>
    </row>
    <row r="26" spans="2:17" x14ac:dyDescent="0.35">
      <c r="B26" s="5">
        <v>5</v>
      </c>
      <c r="C26" s="5">
        <f t="shared" si="11"/>
        <v>70</v>
      </c>
      <c r="D26" s="6">
        <f t="shared" si="5"/>
        <v>4.7136666666666667</v>
      </c>
      <c r="E26" s="7">
        <f t="shared" si="12"/>
        <v>0.6364472102397285</v>
      </c>
      <c r="F26" s="6">
        <f t="shared" si="2"/>
        <v>4.7136666666666667</v>
      </c>
      <c r="G26" s="6">
        <f t="shared" si="8"/>
        <v>4713.666666666667</v>
      </c>
      <c r="H26" s="6">
        <f t="shared" si="6"/>
        <v>0.29360498413536096</v>
      </c>
      <c r="I26" s="7">
        <f t="shared" si="13"/>
        <v>8.3333333333333339</v>
      </c>
      <c r="J26" s="7">
        <f t="shared" si="3"/>
        <v>0.66666666666666674</v>
      </c>
      <c r="K26" s="7">
        <f t="shared" si="4"/>
        <v>1.25</v>
      </c>
      <c r="M26" s="12" t="s">
        <v>32</v>
      </c>
      <c r="N26" s="32">
        <f>R4*N25*1000</f>
        <v>2.0429968393118183</v>
      </c>
      <c r="O26" s="31" t="s">
        <v>57</v>
      </c>
    </row>
    <row r="27" spans="2:17" ht="15" thickBot="1" x14ac:dyDescent="0.4">
      <c r="B27" s="5">
        <v>6</v>
      </c>
      <c r="C27" s="5">
        <f t="shared" si="11"/>
        <v>84</v>
      </c>
      <c r="D27" s="6">
        <f t="shared" si="5"/>
        <v>5.6469999999999994</v>
      </c>
      <c r="E27" s="7">
        <f t="shared" si="12"/>
        <v>0.53125553391181168</v>
      </c>
      <c r="F27" s="6">
        <f t="shared" si="2"/>
        <v>5.6469999999999994</v>
      </c>
      <c r="G27" s="6">
        <f t="shared" si="8"/>
        <v>5646.9999999999991</v>
      </c>
      <c r="H27" s="6">
        <f t="shared" si="6"/>
        <v>0.24507809932460536</v>
      </c>
      <c r="I27" s="7">
        <f t="shared" si="13"/>
        <v>6.9444444444444446</v>
      </c>
      <c r="J27" s="7">
        <f t="shared" si="3"/>
        <v>0.55555555555555558</v>
      </c>
      <c r="K27" s="7">
        <f t="shared" si="4"/>
        <v>1.0416666666666667</v>
      </c>
      <c r="M27" s="14" t="s">
        <v>39</v>
      </c>
      <c r="N27" s="19">
        <f>N26/N3</f>
        <v>8.1719873572472734E-2</v>
      </c>
      <c r="O27" s="15" t="s">
        <v>33</v>
      </c>
    </row>
    <row r="28" spans="2:17" x14ac:dyDescent="0.35">
      <c r="B28" s="5">
        <v>7</v>
      </c>
      <c r="C28" s="5">
        <f t="shared" si="11"/>
        <v>98</v>
      </c>
      <c r="D28" s="6">
        <f t="shared" si="5"/>
        <v>6.5803333333333329</v>
      </c>
      <c r="E28" s="7">
        <f t="shared" si="12"/>
        <v>0.45590395623322022</v>
      </c>
      <c r="F28" s="6">
        <f t="shared" si="2"/>
        <v>6.5803333333333329</v>
      </c>
      <c r="G28" s="6">
        <f t="shared" si="8"/>
        <v>6580.333333333333</v>
      </c>
      <c r="H28" s="6">
        <f t="shared" si="6"/>
        <v>0.21031700930338582</v>
      </c>
      <c r="I28" s="7">
        <f t="shared" si="13"/>
        <v>5.9523809523809526</v>
      </c>
      <c r="J28" s="7">
        <f t="shared" si="3"/>
        <v>0.47619047619047622</v>
      </c>
      <c r="K28" s="7">
        <f t="shared" si="4"/>
        <v>0.8928571428571429</v>
      </c>
    </row>
    <row r="29" spans="2:17" x14ac:dyDescent="0.35">
      <c r="B29" s="5">
        <v>8</v>
      </c>
      <c r="C29" s="5">
        <f t="shared" si="11"/>
        <v>112</v>
      </c>
      <c r="D29" s="6">
        <f t="shared" si="5"/>
        <v>7.5136666666666665</v>
      </c>
      <c r="E29" s="7">
        <f t="shared" si="12"/>
        <v>0.3992724368927732</v>
      </c>
      <c r="F29" s="6">
        <f t="shared" si="2"/>
        <v>7.5136666666666665</v>
      </c>
      <c r="G29" s="6">
        <f t="shared" si="8"/>
        <v>7513.666666666667</v>
      </c>
      <c r="H29" s="6">
        <f t="shared" si="6"/>
        <v>0.18419183180241067</v>
      </c>
      <c r="I29" s="7">
        <f t="shared" si="13"/>
        <v>5.208333333333333</v>
      </c>
      <c r="J29" s="7">
        <f t="shared" si="3"/>
        <v>0.41666666666666663</v>
      </c>
      <c r="K29" s="7">
        <f t="shared" si="4"/>
        <v>0.78125</v>
      </c>
      <c r="M29" t="s">
        <v>73</v>
      </c>
    </row>
    <row r="30" spans="2:17" x14ac:dyDescent="0.35">
      <c r="B30" s="5">
        <v>9</v>
      </c>
      <c r="C30" s="5">
        <f t="shared" si="11"/>
        <v>126</v>
      </c>
      <c r="D30" s="6">
        <f t="shared" si="5"/>
        <v>8.447000000000001</v>
      </c>
      <c r="E30" s="7">
        <f t="shared" si="12"/>
        <v>0.35515567657156383</v>
      </c>
      <c r="F30" s="6">
        <f t="shared" si="2"/>
        <v>8.447000000000001</v>
      </c>
      <c r="G30" s="6">
        <f t="shared" si="8"/>
        <v>8447</v>
      </c>
      <c r="H30" s="6">
        <f t="shared" si="6"/>
        <v>0.16383994635800239</v>
      </c>
      <c r="I30" s="7">
        <f t="shared" si="13"/>
        <v>4.6296296296296298</v>
      </c>
      <c r="J30" s="7">
        <f t="shared" si="3"/>
        <v>0.37037037037037041</v>
      </c>
      <c r="K30" s="7">
        <f t="shared" si="4"/>
        <v>0.69444444444444442</v>
      </c>
    </row>
    <row r="31" spans="2:17" x14ac:dyDescent="0.35">
      <c r="B31" s="5">
        <v>10</v>
      </c>
      <c r="C31" s="5">
        <f t="shared" si="11"/>
        <v>140</v>
      </c>
      <c r="D31" s="6">
        <f t="shared" si="5"/>
        <v>9.3803333333333345</v>
      </c>
      <c r="E31" s="7">
        <f t="shared" si="12"/>
        <v>0.31981805905973487</v>
      </c>
      <c r="F31" s="6">
        <f t="shared" si="2"/>
        <v>9.3803333333333345</v>
      </c>
      <c r="G31" s="6">
        <f t="shared" si="8"/>
        <v>9380.3333333333339</v>
      </c>
      <c r="H31" s="6">
        <f t="shared" si="6"/>
        <v>0.14753804344757254</v>
      </c>
      <c r="I31" s="7">
        <f t="shared" si="13"/>
        <v>4.166666666666667</v>
      </c>
      <c r="J31" s="7">
        <f t="shared" si="3"/>
        <v>0.33333333333333337</v>
      </c>
      <c r="K31" s="7">
        <f t="shared" si="4"/>
        <v>0.625</v>
      </c>
    </row>
    <row r="32" spans="2:17" x14ac:dyDescent="0.35">
      <c r="B32" s="5">
        <v>20</v>
      </c>
      <c r="C32" s="5">
        <f t="shared" si="11"/>
        <v>280</v>
      </c>
      <c r="D32" s="6">
        <f t="shared" si="5"/>
        <v>18.713666666666668</v>
      </c>
      <c r="E32" s="7">
        <f t="shared" si="12"/>
        <v>0.1603106464081509</v>
      </c>
      <c r="F32" s="6">
        <f t="shared" si="2"/>
        <v>18.713666666666668</v>
      </c>
      <c r="G32" s="6">
        <f t="shared" si="8"/>
        <v>18713.666666666668</v>
      </c>
      <c r="H32" s="6">
        <f t="shared" si="6"/>
        <v>7.3954295090186112E-2</v>
      </c>
      <c r="I32" s="7">
        <f t="shared" si="13"/>
        <v>2.0833333333333335</v>
      </c>
      <c r="J32" s="7">
        <f t="shared" si="3"/>
        <v>0.16666666666666669</v>
      </c>
      <c r="K32" s="7">
        <f t="shared" si="4"/>
        <v>0.3125</v>
      </c>
    </row>
    <row r="33" spans="2:11" x14ac:dyDescent="0.35">
      <c r="B33" s="21">
        <v>0.39</v>
      </c>
      <c r="C33" s="21">
        <f t="shared" si="11"/>
        <v>5.4600000000000009</v>
      </c>
      <c r="D33" s="20">
        <f t="shared" si="5"/>
        <v>0.41100000000000003</v>
      </c>
      <c r="E33" s="20">
        <f t="shared" si="12"/>
        <v>7.2992700729926998</v>
      </c>
      <c r="F33" s="24">
        <f t="shared" si="2"/>
        <v>0.41100000000000003</v>
      </c>
      <c r="G33" s="6">
        <f t="shared" si="8"/>
        <v>411</v>
      </c>
      <c r="H33" s="6">
        <f t="shared" si="6"/>
        <v>3.3672896031290667</v>
      </c>
      <c r="I33" s="20">
        <f t="shared" si="13"/>
        <v>106.83760683760683</v>
      </c>
      <c r="J33" s="20">
        <f t="shared" si="3"/>
        <v>8.5470085470085468</v>
      </c>
      <c r="K33" s="20">
        <f t="shared" si="4"/>
        <v>16.025641025641022</v>
      </c>
    </row>
    <row r="34" spans="2:11" x14ac:dyDescent="0.35">
      <c r="B34" s="22"/>
      <c r="C34" s="22"/>
      <c r="D34" s="23"/>
      <c r="E34" s="23"/>
      <c r="F34" s="25"/>
      <c r="G34" s="25"/>
      <c r="H34" s="28"/>
      <c r="I34" s="23"/>
      <c r="J34" s="23"/>
      <c r="K34" s="23"/>
    </row>
    <row r="35" spans="2:11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7.288493751850516</v>
      </c>
      <c r="F35" s="24">
        <f t="shared" ref="F35" si="16">IF($N$9=0,$N$23*($N$8+$N$7)*D35,$N$23*(0.1)*D35)</f>
        <v>0.41160767946577625</v>
      </c>
      <c r="G35" s="6">
        <f t="shared" ref="G35" si="17">$N$9*D35*$N$14</f>
        <v>411.6076794657763</v>
      </c>
      <c r="H35" s="6">
        <f t="shared" ref="H35" si="18">1/(2*PI()*($N$8+$N$7+$N$9)*D35)*1000</f>
        <v>3.3623182849316042</v>
      </c>
      <c r="I35" s="20">
        <f t="shared" ref="I35" si="19">$N$3*$N$3/(C35+B35)</f>
        <v>104.34056761268782</v>
      </c>
      <c r="J35" s="20">
        <f t="shared" ref="J35" si="20">I35*$R$10/1000</f>
        <v>8.3472454090150254</v>
      </c>
      <c r="K35" s="20">
        <f t="shared" ref="K35" si="21">I35*$R$11/1000</f>
        <v>15.651085141903174</v>
      </c>
    </row>
    <row r="36" spans="2:11" x14ac:dyDescent="0.35">
      <c r="G36" s="29"/>
    </row>
    <row r="37" spans="2:11" x14ac:dyDescent="0.35">
      <c r="F37" s="11" t="s">
        <v>40</v>
      </c>
      <c r="G37" s="11"/>
    </row>
    <row r="38" spans="2:11" x14ac:dyDescent="0.35">
      <c r="H38" s="11" t="s">
        <v>41</v>
      </c>
    </row>
    <row r="41" spans="2:11" x14ac:dyDescent="0.35">
      <c r="H41" t="s">
        <v>137</v>
      </c>
    </row>
  </sheetData>
  <mergeCells count="2">
    <mergeCell ref="M19:O19"/>
    <mergeCell ref="B2:K2"/>
  </mergeCells>
  <conditionalFormatting sqref="F4:F35">
    <cfRule type="cellIs" dxfId="2" priority="14" operator="between">
      <formula>0</formula>
      <formula>$N$22</formula>
    </cfRule>
  </conditionalFormatting>
  <conditionalFormatting sqref="G4:G36">
    <cfRule type="cellIs" dxfId="1" priority="1" operator="lessThan">
      <formula>$N$16</formula>
    </cfRule>
  </conditionalFormatting>
  <conditionalFormatting sqref="H4:H35">
    <cfRule type="cellIs" dxfId="0" priority="2" operator="greaterThan">
      <formula>$N$10/1000*$N$11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dimension ref="B2:K17"/>
  <sheetViews>
    <sheetView zoomScale="115" zoomScaleNormal="115" workbookViewId="0">
      <selection activeCell="J7" sqref="J7"/>
    </sheetView>
  </sheetViews>
  <sheetFormatPr baseColWidth="10" defaultRowHeight="14.5" x14ac:dyDescent="0.35"/>
  <cols>
    <col min="1" max="1" width="3" customWidth="1"/>
    <col min="2" max="2" width="13.90625" bestFit="1" customWidth="1"/>
    <col min="3" max="3" width="18.26953125" bestFit="1" customWidth="1"/>
    <col min="4" max="4" width="15.90625" bestFit="1" customWidth="1"/>
    <col min="5" max="5" width="17.36328125" bestFit="1" customWidth="1"/>
    <col min="6" max="6" width="23" bestFit="1" customWidth="1"/>
    <col min="7" max="7" width="10.26953125" customWidth="1"/>
    <col min="8" max="8" width="2.1796875" customWidth="1"/>
    <col min="9" max="9" width="15" bestFit="1" customWidth="1"/>
    <col min="10" max="10" width="5.90625" bestFit="1" customWidth="1"/>
    <col min="11" max="11" width="6.08984375" bestFit="1" customWidth="1"/>
  </cols>
  <sheetData>
    <row r="2" spans="2:11" x14ac:dyDescent="0.35">
      <c r="B2" s="44" t="s">
        <v>62</v>
      </c>
      <c r="C2" s="44"/>
      <c r="D2" s="44"/>
      <c r="E2" s="44"/>
      <c r="F2" s="44"/>
      <c r="G2" s="44"/>
    </row>
    <row r="3" spans="2:11" x14ac:dyDescent="0.35">
      <c r="B3" s="26" t="s">
        <v>60</v>
      </c>
      <c r="C3" s="26" t="s">
        <v>59</v>
      </c>
      <c r="D3" s="26" t="s">
        <v>58</v>
      </c>
      <c r="E3" s="26" t="s">
        <v>63</v>
      </c>
      <c r="F3" s="26" t="s">
        <v>66</v>
      </c>
      <c r="G3" s="26" t="s">
        <v>67</v>
      </c>
      <c r="I3" s="8" t="s">
        <v>54</v>
      </c>
      <c r="J3" s="2">
        <v>200</v>
      </c>
      <c r="K3" s="3" t="s">
        <v>52</v>
      </c>
    </row>
    <row r="4" spans="2:11" x14ac:dyDescent="0.35">
      <c r="B4" s="9">
        <f>0.1*1000</f>
        <v>100</v>
      </c>
      <c r="C4" s="6">
        <f t="shared" ref="C4:C14" si="0">B4*$J$7*$J$7/1000/1000*$J$6/100</f>
        <v>2.1374999999999998E-2</v>
      </c>
      <c r="D4" s="9">
        <f t="shared" ref="D4:D14" si="1">$J$7*B4/1000</f>
        <v>1.5</v>
      </c>
      <c r="E4" s="9">
        <f t="shared" ref="E4:E14" si="2">D4/$J$12</f>
        <v>1.8618181818181818</v>
      </c>
      <c r="F4" s="9">
        <f t="shared" ref="F4:F14" si="3">D4/$J$12*$J$13</f>
        <v>119.15636363636364</v>
      </c>
      <c r="G4" s="6">
        <f t="shared" ref="G4:G14" si="4">$J$7/F4*1000</f>
        <v>125.885009765625</v>
      </c>
      <c r="I4" s="8"/>
      <c r="J4" s="2"/>
      <c r="K4" s="3"/>
    </row>
    <row r="5" spans="2:11" x14ac:dyDescent="0.35">
      <c r="B5" s="9">
        <f>B4+100</f>
        <v>200</v>
      </c>
      <c r="C5" s="6">
        <f t="shared" si="0"/>
        <v>4.2749999999999996E-2</v>
      </c>
      <c r="D5" s="9">
        <f t="shared" si="1"/>
        <v>3</v>
      </c>
      <c r="E5" s="9">
        <f t="shared" si="2"/>
        <v>3.7236363636363636</v>
      </c>
      <c r="F5" s="9">
        <f t="shared" si="3"/>
        <v>238.31272727272727</v>
      </c>
      <c r="G5" s="6">
        <f t="shared" si="4"/>
        <v>62.9425048828125</v>
      </c>
      <c r="I5" s="8" t="s">
        <v>51</v>
      </c>
      <c r="J5" s="2">
        <v>0.01</v>
      </c>
      <c r="K5" s="3" t="s">
        <v>52</v>
      </c>
    </row>
    <row r="6" spans="2:11" x14ac:dyDescent="0.35">
      <c r="B6" s="9">
        <v>250</v>
      </c>
      <c r="C6" s="6">
        <f t="shared" si="0"/>
        <v>5.3437499999999999E-2</v>
      </c>
      <c r="D6" s="9">
        <f t="shared" si="1"/>
        <v>3.75</v>
      </c>
      <c r="E6" s="9">
        <f t="shared" si="2"/>
        <v>4.6545454545454543</v>
      </c>
      <c r="F6" s="9">
        <f t="shared" si="3"/>
        <v>297.89090909090908</v>
      </c>
      <c r="G6" s="6">
        <f t="shared" si="4"/>
        <v>50.35400390625</v>
      </c>
      <c r="I6" s="8" t="s">
        <v>56</v>
      </c>
      <c r="J6" s="2">
        <v>95</v>
      </c>
      <c r="K6" s="3" t="s">
        <v>33</v>
      </c>
    </row>
    <row r="7" spans="2:11" x14ac:dyDescent="0.35">
      <c r="B7" s="9">
        <f>B5+100</f>
        <v>300</v>
      </c>
      <c r="C7" s="6">
        <f t="shared" si="0"/>
        <v>6.4125000000000001E-2</v>
      </c>
      <c r="D7" s="9">
        <f t="shared" si="1"/>
        <v>4.5</v>
      </c>
      <c r="E7" s="9">
        <f t="shared" si="2"/>
        <v>5.5854545454545459</v>
      </c>
      <c r="F7" s="9">
        <f t="shared" si="3"/>
        <v>357.46909090909094</v>
      </c>
      <c r="G7" s="6">
        <f t="shared" si="4"/>
        <v>41.961669921875</v>
      </c>
      <c r="I7" s="8" t="s">
        <v>55</v>
      </c>
      <c r="J7" s="2">
        <v>15</v>
      </c>
      <c r="K7" s="3" t="s">
        <v>52</v>
      </c>
    </row>
    <row r="8" spans="2:11" x14ac:dyDescent="0.35">
      <c r="B8" s="9">
        <f t="shared" ref="B8:B14" si="5">B7+100</f>
        <v>400</v>
      </c>
      <c r="C8" s="6">
        <f t="shared" si="0"/>
        <v>8.5499999999999993E-2</v>
      </c>
      <c r="D8" s="9">
        <f t="shared" si="1"/>
        <v>6</v>
      </c>
      <c r="E8" s="9">
        <f t="shared" si="2"/>
        <v>7.4472727272727273</v>
      </c>
      <c r="F8" s="9">
        <f t="shared" si="3"/>
        <v>476.62545454545455</v>
      </c>
      <c r="G8" s="6">
        <f t="shared" si="4"/>
        <v>31.47125244140625</v>
      </c>
    </row>
    <row r="9" spans="2:11" x14ac:dyDescent="0.35">
      <c r="B9" s="30">
        <f t="shared" si="5"/>
        <v>500</v>
      </c>
      <c r="C9" s="27">
        <f t="shared" si="0"/>
        <v>0.106875</v>
      </c>
      <c r="D9" s="30">
        <f t="shared" si="1"/>
        <v>7.5</v>
      </c>
      <c r="E9" s="30">
        <f t="shared" si="2"/>
        <v>9.3090909090909086</v>
      </c>
      <c r="F9" s="30">
        <f t="shared" si="3"/>
        <v>595.78181818181815</v>
      </c>
      <c r="G9" s="27">
        <f t="shared" si="4"/>
        <v>25.177001953125</v>
      </c>
      <c r="I9" s="8" t="s">
        <v>53</v>
      </c>
      <c r="J9" s="2">
        <v>3.3</v>
      </c>
      <c r="K9" s="3" t="s">
        <v>2</v>
      </c>
    </row>
    <row r="10" spans="2:11" x14ac:dyDescent="0.35">
      <c r="B10" s="9">
        <f t="shared" si="5"/>
        <v>600</v>
      </c>
      <c r="C10" s="6">
        <f t="shared" si="0"/>
        <v>0.12825</v>
      </c>
      <c r="D10" s="9">
        <f t="shared" si="1"/>
        <v>9</v>
      </c>
      <c r="E10" s="9">
        <f t="shared" si="2"/>
        <v>11.170909090909092</v>
      </c>
      <c r="F10" s="9">
        <f t="shared" si="3"/>
        <v>714.93818181818187</v>
      </c>
      <c r="G10" s="6">
        <f t="shared" si="4"/>
        <v>20.9808349609375</v>
      </c>
      <c r="I10" s="8" t="s">
        <v>27</v>
      </c>
      <c r="J10" s="2">
        <v>12</v>
      </c>
      <c r="K10" s="3" t="s">
        <v>28</v>
      </c>
    </row>
    <row r="11" spans="2:11" x14ac:dyDescent="0.35">
      <c r="B11" s="9">
        <f t="shared" si="5"/>
        <v>700</v>
      </c>
      <c r="C11" s="6">
        <f t="shared" si="0"/>
        <v>0.14962500000000001</v>
      </c>
      <c r="D11" s="9">
        <f t="shared" si="1"/>
        <v>10.5</v>
      </c>
      <c r="E11" s="9">
        <f t="shared" si="2"/>
        <v>13.032727272727273</v>
      </c>
      <c r="F11" s="9">
        <f t="shared" si="3"/>
        <v>834.09454545454548</v>
      </c>
      <c r="G11" s="6">
        <f t="shared" si="4"/>
        <v>17.983572823660712</v>
      </c>
      <c r="I11" s="8" t="s">
        <v>27</v>
      </c>
      <c r="J11" s="2">
        <f>2^J10</f>
        <v>4096</v>
      </c>
      <c r="K11" s="3" t="s">
        <v>29</v>
      </c>
    </row>
    <row r="12" spans="2:11" x14ac:dyDescent="0.35">
      <c r="B12" s="9">
        <f t="shared" si="5"/>
        <v>800</v>
      </c>
      <c r="C12" s="6">
        <f t="shared" si="0"/>
        <v>0.17099999999999999</v>
      </c>
      <c r="D12" s="9">
        <f t="shared" si="1"/>
        <v>12</v>
      </c>
      <c r="E12" s="9">
        <f t="shared" si="2"/>
        <v>14.894545454545455</v>
      </c>
      <c r="F12" s="9">
        <f t="shared" si="3"/>
        <v>953.25090909090909</v>
      </c>
      <c r="G12" s="6">
        <f t="shared" si="4"/>
        <v>15.735626220703125</v>
      </c>
      <c r="I12" s="8" t="s">
        <v>27</v>
      </c>
      <c r="J12" s="7">
        <f>J9/J11*1000</f>
        <v>0.8056640625</v>
      </c>
      <c r="K12" s="3" t="s">
        <v>64</v>
      </c>
    </row>
    <row r="13" spans="2:11" x14ac:dyDescent="0.35">
      <c r="B13" s="9">
        <f t="shared" si="5"/>
        <v>900</v>
      </c>
      <c r="C13" s="6">
        <f t="shared" si="0"/>
        <v>0.19237500000000002</v>
      </c>
      <c r="D13" s="9">
        <f t="shared" si="1"/>
        <v>13.5</v>
      </c>
      <c r="E13" s="9">
        <f t="shared" si="2"/>
        <v>16.756363636363638</v>
      </c>
      <c r="F13" s="9">
        <f t="shared" si="3"/>
        <v>1072.4072727272728</v>
      </c>
      <c r="G13" s="6">
        <f t="shared" si="4"/>
        <v>13.987223307291666</v>
      </c>
      <c r="I13" s="8" t="s">
        <v>65</v>
      </c>
      <c r="J13" s="9">
        <v>64</v>
      </c>
      <c r="K13" s="3" t="s">
        <v>6</v>
      </c>
    </row>
    <row r="14" spans="2:11" x14ac:dyDescent="0.35">
      <c r="B14" s="9">
        <f t="shared" si="5"/>
        <v>1000</v>
      </c>
      <c r="C14" s="6">
        <f t="shared" si="0"/>
        <v>0.21375</v>
      </c>
      <c r="D14" s="9">
        <f t="shared" si="1"/>
        <v>15</v>
      </c>
      <c r="E14" s="9">
        <f t="shared" si="2"/>
        <v>18.618181818181817</v>
      </c>
      <c r="F14" s="9">
        <f t="shared" si="3"/>
        <v>1191.5636363636363</v>
      </c>
      <c r="G14" s="6">
        <f t="shared" si="4"/>
        <v>12.5885009765625</v>
      </c>
    </row>
    <row r="16" spans="2:11" x14ac:dyDescent="0.35">
      <c r="B16" t="s">
        <v>102</v>
      </c>
      <c r="D16" s="37" t="s">
        <v>104</v>
      </c>
    </row>
    <row r="17" spans="2:2" x14ac:dyDescent="0.35">
      <c r="B17" t="s">
        <v>103</v>
      </c>
    </row>
  </sheetData>
  <mergeCells count="1">
    <mergeCell ref="B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F10" sqref="F10"/>
    </sheetView>
  </sheetViews>
  <sheetFormatPr baseColWidth="10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4" t="s">
        <v>92</v>
      </c>
      <c r="C2" s="3" t="s">
        <v>80</v>
      </c>
      <c r="D2" s="3">
        <v>15</v>
      </c>
      <c r="E2" s="3" t="s">
        <v>52</v>
      </c>
    </row>
    <row r="3" spans="2:14" x14ac:dyDescent="0.35">
      <c r="B3" s="34" t="s">
        <v>81</v>
      </c>
      <c r="C3" s="3" t="s">
        <v>82</v>
      </c>
      <c r="D3" s="3">
        <v>95</v>
      </c>
      <c r="E3" s="3" t="s">
        <v>33</v>
      </c>
    </row>
    <row r="4" spans="2:14" x14ac:dyDescent="0.35">
      <c r="B4" s="34" t="s">
        <v>83</v>
      </c>
      <c r="C4" s="3" t="s">
        <v>84</v>
      </c>
      <c r="D4" s="3">
        <v>26</v>
      </c>
      <c r="E4" s="3" t="s">
        <v>2</v>
      </c>
    </row>
    <row r="5" spans="2:14" x14ac:dyDescent="0.35">
      <c r="B5" s="34" t="s">
        <v>85</v>
      </c>
      <c r="C5" s="3" t="s">
        <v>94</v>
      </c>
      <c r="D5" s="3">
        <v>1.2</v>
      </c>
      <c r="E5" s="3" t="s">
        <v>93</v>
      </c>
    </row>
    <row r="6" spans="2:14" x14ac:dyDescent="0.35">
      <c r="B6" s="34" t="s">
        <v>86</v>
      </c>
      <c r="C6" s="3" t="s">
        <v>87</v>
      </c>
      <c r="D6" s="3">
        <v>79</v>
      </c>
      <c r="E6" s="3" t="s">
        <v>15</v>
      </c>
    </row>
    <row r="7" spans="2:14" x14ac:dyDescent="0.35">
      <c r="B7" s="34" t="s">
        <v>88</v>
      </c>
      <c r="C7" s="3" t="s">
        <v>89</v>
      </c>
      <c r="D7" s="3">
        <v>81</v>
      </c>
      <c r="E7" s="3" t="s">
        <v>15</v>
      </c>
    </row>
    <row r="8" spans="2:14" x14ac:dyDescent="0.35">
      <c r="B8" s="34" t="s">
        <v>90</v>
      </c>
      <c r="C8" s="3" t="s">
        <v>91</v>
      </c>
      <c r="D8" s="3">
        <v>64</v>
      </c>
      <c r="E8" s="3" t="s">
        <v>26</v>
      </c>
      <c r="N8" s="33"/>
    </row>
    <row r="10" spans="2:14" x14ac:dyDescent="0.35">
      <c r="B10" s="34" t="s">
        <v>100</v>
      </c>
      <c r="C10" s="3" t="s">
        <v>95</v>
      </c>
      <c r="D10" s="35">
        <f>D5/1000*D2^2*D3/100</f>
        <v>0.25649999999999995</v>
      </c>
      <c r="E10" s="3" t="s">
        <v>96</v>
      </c>
    </row>
    <row r="11" spans="2:14" x14ac:dyDescent="0.35">
      <c r="B11" s="34" t="s">
        <v>97</v>
      </c>
      <c r="C11" s="3" t="s">
        <v>98</v>
      </c>
      <c r="D11" s="35">
        <f>1/2*D4*D2*(D6+D7)*D8/1000000</f>
        <v>1.9967999999999999</v>
      </c>
      <c r="E11" s="3" t="s">
        <v>96</v>
      </c>
    </row>
    <row r="12" spans="2:14" x14ac:dyDescent="0.35">
      <c r="B12" s="34" t="s">
        <v>101</v>
      </c>
      <c r="C12" s="3" t="s">
        <v>99</v>
      </c>
      <c r="D12" s="35">
        <f>D10*2+D11</f>
        <v>2.5097999999999998</v>
      </c>
      <c r="E12" s="3" t="s">
        <v>96</v>
      </c>
    </row>
    <row r="13" spans="2:14" x14ac:dyDescent="0.35">
      <c r="D13" s="36"/>
    </row>
    <row r="14" spans="2:14" x14ac:dyDescent="0.35">
      <c r="B14" t="s">
        <v>105</v>
      </c>
    </row>
    <row r="15" spans="2:14" x14ac:dyDescent="0.35">
      <c r="B15" t="s">
        <v>106</v>
      </c>
    </row>
    <row r="16" spans="2:14" x14ac:dyDescent="0.35">
      <c r="B16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dimension ref="A1:AC3"/>
  <sheetViews>
    <sheetView tabSelected="1" zoomScaleNormal="100" workbookViewId="0">
      <selection activeCell="P3" sqref="P3"/>
    </sheetView>
  </sheetViews>
  <sheetFormatPr baseColWidth="10" defaultRowHeight="14.5" x14ac:dyDescent="0.35"/>
  <cols>
    <col min="1" max="1" width="9" customWidth="1"/>
    <col min="2" max="3" width="14" bestFit="1" customWidth="1"/>
    <col min="4" max="5" width="1.6328125" customWidth="1"/>
    <col min="6" max="6" width="15.6328125" bestFit="1" customWidth="1"/>
    <col min="7" max="10" width="1.6328125" customWidth="1"/>
    <col min="11" max="11" width="13.81640625" customWidth="1"/>
    <col min="12" max="12" width="1.6328125" customWidth="1"/>
    <col min="13" max="13" width="9.1796875" customWidth="1"/>
    <col min="14" max="14" width="16.36328125" customWidth="1"/>
    <col min="15" max="15" width="13.08984375" customWidth="1"/>
    <col min="16" max="16" width="12.453125" customWidth="1"/>
    <col min="17" max="17" width="11.90625" customWidth="1"/>
    <col min="18" max="18" width="12.26953125" customWidth="1"/>
    <col min="19" max="20" width="1.6328125" customWidth="1"/>
    <col min="21" max="21" width="13.36328125" customWidth="1"/>
    <col min="22" max="22" width="8.1796875" bestFit="1" customWidth="1"/>
    <col min="23" max="23" width="13" customWidth="1"/>
    <col min="24" max="24" width="1.6328125" customWidth="1"/>
    <col min="25" max="25" width="11" bestFit="1" customWidth="1"/>
    <col min="26" max="26" width="8.26953125" bestFit="1" customWidth="1"/>
    <col min="27" max="27" width="11" bestFit="1" customWidth="1"/>
    <col min="28" max="28" width="12.90625" bestFit="1" customWidth="1"/>
    <col min="29" max="29" width="11" bestFit="1" customWidth="1"/>
  </cols>
  <sheetData>
    <row r="1" spans="1:29" x14ac:dyDescent="0.35">
      <c r="A1" t="s">
        <v>108</v>
      </c>
      <c r="B1" t="s">
        <v>132</v>
      </c>
      <c r="C1" t="s">
        <v>133</v>
      </c>
      <c r="D1" t="s">
        <v>109</v>
      </c>
      <c r="E1" t="s">
        <v>110</v>
      </c>
      <c r="F1" t="s">
        <v>119</v>
      </c>
      <c r="G1" t="s">
        <v>111</v>
      </c>
      <c r="H1" t="s">
        <v>114</v>
      </c>
      <c r="I1" t="s">
        <v>113</v>
      </c>
      <c r="J1" t="s">
        <v>112</v>
      </c>
      <c r="K1" t="s">
        <v>124</v>
      </c>
      <c r="L1" t="s">
        <v>115</v>
      </c>
      <c r="M1" t="s">
        <v>116</v>
      </c>
      <c r="N1" t="s">
        <v>117</v>
      </c>
      <c r="O1" t="s">
        <v>122</v>
      </c>
      <c r="P1" t="s">
        <v>136</v>
      </c>
      <c r="Q1" t="s">
        <v>120</v>
      </c>
      <c r="R1" t="s">
        <v>123</v>
      </c>
      <c r="S1" t="s">
        <v>125</v>
      </c>
      <c r="T1" t="s">
        <v>126</v>
      </c>
      <c r="U1" t="s">
        <v>127</v>
      </c>
      <c r="V1" t="s">
        <v>118</v>
      </c>
      <c r="W1" t="s">
        <v>121</v>
      </c>
      <c r="X1" t="s">
        <v>129</v>
      </c>
      <c r="Y1" t="s">
        <v>131</v>
      </c>
      <c r="Z1" t="s">
        <v>130</v>
      </c>
      <c r="AA1" t="s">
        <v>128</v>
      </c>
      <c r="AB1" t="s">
        <v>134</v>
      </c>
      <c r="AC1" t="s">
        <v>135</v>
      </c>
    </row>
    <row r="2" spans="1:29" x14ac:dyDescent="0.35">
      <c r="A2" s="1">
        <v>10</v>
      </c>
      <c r="B2" s="1">
        <v>0.3</v>
      </c>
      <c r="C2" s="1">
        <f>Tableau1[[#This Row],[Rfext (Ω)]]*0.1</f>
        <v>0.51</v>
      </c>
      <c r="D2" s="1">
        <v>6</v>
      </c>
      <c r="E2" s="1">
        <v>0.27</v>
      </c>
      <c r="F2" s="1">
        <f>A2-B2-D2-E2-Tableau1[[#This Row],[Vr,100mA (V)]]</f>
        <v>2.919999999999999</v>
      </c>
      <c r="G2" s="1">
        <v>120</v>
      </c>
      <c r="H2" s="1">
        <v>0.7</v>
      </c>
      <c r="I2" s="1">
        <v>1.25</v>
      </c>
      <c r="J2" s="1">
        <v>1</v>
      </c>
      <c r="K2" s="1">
        <v>95</v>
      </c>
      <c r="L2" s="1">
        <v>24</v>
      </c>
      <c r="M2" s="32">
        <f>(G2*10^-9+H2/L2*10^-6+(I2+J2)/L2*10^-6*K2/100)/10^-9</f>
        <v>238.22916666666666</v>
      </c>
      <c r="N2" s="32">
        <f>M2/F2</f>
        <v>81.585331050228334</v>
      </c>
      <c r="O2" s="1">
        <v>2</v>
      </c>
      <c r="P2" s="32">
        <v>300</v>
      </c>
      <c r="Q2" s="45">
        <f>P2/M2</f>
        <v>1.2592916484477481</v>
      </c>
      <c r="R2" s="1">
        <v>128</v>
      </c>
      <c r="S2" s="46">
        <f>1/R2/1000*(1-K2/100)*1000000</f>
        <v>0.39062500000000033</v>
      </c>
      <c r="T2" s="1">
        <v>2</v>
      </c>
      <c r="U2" s="46">
        <f>S2/T2</f>
        <v>0.19531250000000017</v>
      </c>
      <c r="V2" s="46">
        <f>A2-B2-Q2-Tableau1[[#This Row],[Vr,100mA (V)]]</f>
        <v>7.9307083515522514</v>
      </c>
      <c r="W2" s="1">
        <f>A2-B2-Tableau1[[#This Row],[Vr,100mA (V)]]</f>
        <v>9.19</v>
      </c>
      <c r="X2" s="1">
        <v>21.5</v>
      </c>
      <c r="Y2" s="1">
        <v>5.0999999999999996</v>
      </c>
      <c r="Z2" s="46">
        <f>IF(Tableau1[[#This Row],[Rfext (Ω)]]&gt;0, 1/(1/Tableau1[[#This Row],[Rfint (Ω)]]+1/Tableau1[[#This Row],[Rfext (Ω)]]), Tableau1[[#This Row],[Rfint (Ω)]])</f>
        <v>4.1221804511278188</v>
      </c>
      <c r="AA2" s="46">
        <f>(V2-W2)*EXP(-U2*10^-6/Tableau1[[#This Row],[Rf (Ω)]]/(P2*10^-9))+W2</f>
        <v>8.114685536921213</v>
      </c>
      <c r="AB2" s="45">
        <f>IF(Tableau1[[#This Row],[Rfext (Ω)]]&gt;0,Tableau1[[#This Row],[Vdd (V)]]/Tableau1[[#This Row],[Rfext (Ω)]],0)</f>
        <v>1.9607843137254903</v>
      </c>
      <c r="AC2" s="46">
        <f>IF(Tableau1[[#This Row],[Imaxext (A)]]&gt;0,3*Tableau1[[#This Row],[Rf (Ω)]]*Tableau1[[#This Row],[Cboot (nF)]]*10^-3,0)</f>
        <v>3.7099624060150371</v>
      </c>
    </row>
    <row r="3" spans="1:29" x14ac:dyDescent="0.35">
      <c r="A3" s="1">
        <v>10</v>
      </c>
      <c r="B3" s="1">
        <v>0.3</v>
      </c>
      <c r="C3" s="47">
        <f>Tableau1[[#This Row],[Rfext (Ω)]]*0.1</f>
        <v>0.51</v>
      </c>
      <c r="D3" s="1">
        <v>6</v>
      </c>
      <c r="E3" s="1">
        <v>0.27</v>
      </c>
      <c r="F3" s="47">
        <f>A3-B3-D3-E3-Tableau1[[#This Row],[Vr,100mA (V)]]</f>
        <v>2.919999999999999</v>
      </c>
      <c r="G3" s="1">
        <v>120</v>
      </c>
      <c r="H3" s="1">
        <v>0.7</v>
      </c>
      <c r="I3" s="1">
        <v>1.25</v>
      </c>
      <c r="J3" s="1">
        <v>1</v>
      </c>
      <c r="K3" s="1">
        <v>95</v>
      </c>
      <c r="L3" s="1">
        <v>10</v>
      </c>
      <c r="M3" s="32">
        <f>(G3*10^-9+H3/L3*10^-6+(I3+J3)/L3*10^-6*K3/100)/10^-9</f>
        <v>403.74999999999994</v>
      </c>
      <c r="N3" s="32">
        <f>M3/F3</f>
        <v>138.27054794520549</v>
      </c>
      <c r="O3" s="1">
        <v>3</v>
      </c>
      <c r="P3" s="32">
        <f>N3*O3</f>
        <v>414.81164383561645</v>
      </c>
      <c r="Q3" s="45">
        <f>P3/M3</f>
        <v>1.0273972602739727</v>
      </c>
      <c r="R3" s="1">
        <v>128</v>
      </c>
      <c r="S3" s="46">
        <f>1/R3/1000*(1-K3/100)*1000000</f>
        <v>0.39062500000000033</v>
      </c>
      <c r="T3" s="1">
        <v>2</v>
      </c>
      <c r="U3" s="46">
        <f>S3/T3</f>
        <v>0.19531250000000017</v>
      </c>
      <c r="V3" s="46">
        <f>A3-B3-Q3-Tableau1[[#This Row],[Vr,100mA (V)]]</f>
        <v>8.1626027397260277</v>
      </c>
      <c r="W3" s="47">
        <f>A3-B3-Tableau1[[#This Row],[Vr,100mA (V)]]</f>
        <v>9.19</v>
      </c>
      <c r="X3" s="1">
        <v>21.5</v>
      </c>
      <c r="Y3" s="1">
        <v>5.0999999999999996</v>
      </c>
      <c r="Z3" s="46">
        <f>IF(Tableau1[[#This Row],[Rfext (Ω)]]&gt;0, 1/(1/Tableau1[[#This Row],[Rfint (Ω)]]+1/Tableau1[[#This Row],[Rfext (Ω)]]), Tableau1[[#This Row],[Rfint (Ω)]])</f>
        <v>4.1221804511278188</v>
      </c>
      <c r="AA3" s="46">
        <f>(V3-W3)*EXP(-U3*10^-6/Tableau1[[#This Row],[Rf (Ω)]]/(P3*10^-9))+W3</f>
        <v>8.2735006704566629</v>
      </c>
      <c r="AB3" s="45">
        <f>IF(Tableau1[[#This Row],[Rfext (Ω)]]&gt;0,Tableau1[[#This Row],[Vdd (V)]]/Tableau1[[#This Row],[Rfext (Ω)]],0)</f>
        <v>1.9607843137254903</v>
      </c>
      <c r="AC3" s="46">
        <f>IF(Tableau1[[#This Row],[Imaxext (A)]]&gt;0,3*Tableau1[[#This Row],[Rf (Ω)]]*Tableau1[[#This Row],[Cboot (nF)]]*10^-3,0)</f>
        <v>5.129785347358121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Vsensing computation</vt:lpstr>
      <vt:lpstr>Isensing computation</vt:lpstr>
      <vt:lpstr>Mosfet</vt:lpstr>
      <vt:lpstr>GD Cboot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2026-02-11T12:57:58Z</dcterms:modified>
</cp:coreProperties>
</file>